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Figu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Key pressed on each trial, typed from the "DATA Keypress" lines of adaptivestaircasetext.log (the CSV has no key column).</t>
        </r>
      </text>
    </comment>
    <comment ref="F4" authorId="0">
      <text>
        <r>
          <rPr>
            <sz val="10"/>
            <rFont val="Arial"/>
            <family val="2"/>
          </rPr>
          <t xml:space="preserve">First trial has no previous response, so it cannot be a reversal.</t>
        </r>
      </text>
    </comment>
  </commentList>
</comments>
</file>

<file path=xl/sharedStrings.xml><?xml version="1.0" encoding="utf-8"?>
<sst xmlns="http://schemas.openxmlformats.org/spreadsheetml/2006/main" count="666" uniqueCount="71">
  <si>
    <t xml:space="preserve">stair.thisTrialN</t>
  </si>
  <si>
    <t xml:space="preserve">stair.stepSize</t>
  </si>
  <si>
    <t xml:space="preserve">stair.intensity</t>
  </si>
  <si>
    <t xml:space="preserve">thisRow.t</t>
  </si>
  <si>
    <t xml:space="preserve">notes</t>
  </si>
  <si>
    <t xml:space="preserve">piloting</t>
  </si>
  <si>
    <t xml:space="preserve">trial.started</t>
  </si>
  <si>
    <t xml:space="preserve">fixation.started</t>
  </si>
  <si>
    <t xml:space="preserve">grating.started</t>
  </si>
  <si>
    <t xml:space="preserve">key_resp.started</t>
  </si>
  <si>
    <t xml:space="preserve">fixation.stopped</t>
  </si>
  <si>
    <t xml:space="preserve">grating.stopped</t>
  </si>
  <si>
    <t xml:space="preserve">trial.stopped</t>
  </si>
  <si>
    <t xml:space="preserve">corrAns</t>
  </si>
  <si>
    <t xml:space="preserve">tilt</t>
  </si>
  <si>
    <t xml:space="preserve">key_resp.corr</t>
  </si>
  <si>
    <t xml:space="preserve">stair.response</t>
  </si>
  <si>
    <t xml:space="preserve">key_resp.rt</t>
  </si>
  <si>
    <t xml:space="preserve">participant</t>
  </si>
  <si>
    <t xml:space="preserve">session</t>
  </si>
  <si>
    <t xml:space="preserve">date</t>
  </si>
  <si>
    <t xml:space="preserve">expName</t>
  </si>
  <si>
    <t xml:space="preserve">expVersion</t>
  </si>
  <si>
    <t xml:space="preserve">psychopyVersion</t>
  </si>
  <si>
    <t xml:space="preserve">frameRate</t>
  </si>
  <si>
    <t xml:space="preserve">expStart</t>
  </si>
  <si>
    <t xml:space="preserve">right</t>
  </si>
  <si>
    <t xml:space="preserve">2026-10-03_23h26.52.674</t>
  </si>
  <si>
    <t xml:space="preserve">adaptive_staircase1</t>
  </si>
  <si>
    <t xml:space="preserve">2026.2.4</t>
  </si>
  <si>
    <t xml:space="preserve">2026-10-03 23h26.52.704802 +0530</t>
  </si>
  <si>
    <t xml:space="preserve">Adaptive Staircase – Difference Threshold (average of last five 1-to-0 reversals)</t>
  </si>
  <si>
    <t xml:space="preserve">Source: PsychoPy output for participant 310387, session 001 (Data sheet). Green = pulled from Data sheet, blue = typed in from the PsychoPy log file, black = calculated.</t>
  </si>
  <si>
    <t xml:space="preserve">Trial</t>
  </si>
  <si>
    <t xml:space="preserve">Intensity (deg)</t>
  </si>
  <si>
    <t xml:space="preserve">Tilt (deg, − = left)</t>
  </si>
  <si>
    <t xml:space="preserve">Response (1 = correct, 0 = incorrect)</t>
  </si>
  <si>
    <t xml:space="preserve">Key pressed (from log)</t>
  </si>
  <si>
    <t xml:space="preserve">1-to-0 reversal? (1 = yes)</t>
  </si>
  <si>
    <t xml:space="preserve">Trial no. of reversal</t>
  </si>
  <si>
    <t xml:space="preserve">Re-scored correct (key vs tilt sign)</t>
  </si>
  <si>
    <t xml:space="preserve">Result</t>
  </si>
  <si>
    <t xml:space="preserve">Value</t>
  </si>
  <si>
    <t xml:space="preserve">Total trials</t>
  </si>
  <si>
    <t xml:space="preserve">Total 1-to-0 reversals</t>
  </si>
  <si>
    <t xml:space="preserve">Overall accuracy (as recorded by PsychoPy)</t>
  </si>
  <si>
    <t xml:space="preserve">left</t>
  </si>
  <si>
    <t xml:space="preserve">Last five 1-to-0 reversals</t>
  </si>
  <si>
    <t xml:space="preserve">Trial no.</t>
  </si>
  <si>
    <t xml:space="preserve">Reversal 5 of 5 (from the end: 1)</t>
  </si>
  <si>
    <t xml:space="preserve">Reversal 4 of 5 (from the end: 2)</t>
  </si>
  <si>
    <t xml:space="preserve">Reversal 3 of 5 (from the end: 3)</t>
  </si>
  <si>
    <t xml:space="preserve">Reversal 2 of 5 (from the end: 4)</t>
  </si>
  <si>
    <t xml:space="preserve">Reversal 1 of 5 (from the end: 5)</t>
  </si>
  <si>
    <t xml:space="preserve">DIFFERENCE THRESHOLD (mean of last five 1-to-0 reversals, deg)</t>
  </si>
  <si>
    <t xml:space="preserve">Supplementary check (re-scored from key presses)</t>
  </si>
  <si>
    <t xml:space="preserve">Proportion of trials answered "right"</t>
  </si>
  <si>
    <t xml:space="preserve">Accuracy re-scored from key vs tilt direction</t>
  </si>
  <si>
    <t xml:space="preserve">Mean response time (s)</t>
  </si>
  <si>
    <t xml:space="preserve">Maximum intensity reached (deg)</t>
  </si>
  <si>
    <t xml:space="preserve">Trials presented at maximum intensity</t>
  </si>
  <si>
    <t xml:space="preserve">Notes</t>
  </si>
  <si>
    <t xml:space="preserve">A 1-to-0 reversal = a trial answered incorrectly (0) straight after a correct one (1); the intensity of that incorrect trial is used.</t>
  </si>
  <si>
    <t xml:space="preserve">The recorded correctness equals "key = right" on every trial, because corrAns is fixed to "right" in the PsychoPy file.</t>
  </si>
  <si>
    <t xml:space="preserve">Because the staircase was driven by that recorded response, it climbed to the 20 deg ceiling instead of converging.</t>
  </si>
  <si>
    <t xml:space="preserve">The log lists 101 key presses; one stray press (at 88.18 s, between trials 98 and 99) was left out so the keys line up with the 100 trials.</t>
  </si>
  <si>
    <t xml:space="preserve">Figures (identical to the figures in the lab report)</t>
  </si>
  <si>
    <t xml:space="preserve">Figure 1. Stimulus - Sinusoidal grating with a Gaussian mask with a Right tilt</t>
  </si>
  <si>
    <t xml:space="preserve">Figure 2. A graph representing the changes in tilt across the 100 trials of the procedure.</t>
  </si>
  <si>
    <t xml:space="preserve">Figure 3. A graph representing the tilt intensity (without direction) across the 100 trials of the procedure.</t>
  </si>
  <si>
    <t xml:space="preserve">Figure 4. Graph representing the accuracy of responses over the 100 trials, as recorded by PsychoPy.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</si>
</sst>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0.0%"/>
    <numFmt numFmtId="168" formatCode="0.0"/>
    <numFmt numFmtId="169" formatCode="0.00"/>
    <numFmt numFmtId="170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9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0</xdr:col>
      <xdr:colOff>2152440</xdr:colOff>
      <xdr:row>13</xdr:row>
      <xdr:rowOff>42120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2152440" cy="215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176040</xdr:rowOff>
    </xdr:from>
    <xdr:to>
      <xdr:col>0</xdr:col>
      <xdr:colOff>5486040</xdr:colOff>
      <xdr:row>32</xdr:row>
      <xdr:rowOff>146880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3429000"/>
          <a:ext cx="5486040" cy="28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175680</xdr:rowOff>
    </xdr:from>
    <xdr:to>
      <xdr:col>0</xdr:col>
      <xdr:colOff>5486040</xdr:colOff>
      <xdr:row>50</xdr:row>
      <xdr:rowOff>80280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7048440"/>
          <a:ext cx="5486040" cy="25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175680</xdr:rowOff>
    </xdr:from>
    <xdr:to>
      <xdr:col>0</xdr:col>
      <xdr:colOff>5486040</xdr:colOff>
      <xdr:row>66</xdr:row>
      <xdr:rowOff>118080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0477440"/>
          <a:ext cx="5486040" cy="2228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n">
        <v>0</v>
      </c>
      <c r="B2" s="2" t="n">
        <v>2</v>
      </c>
      <c r="C2" s="2" t="n">
        <v>10</v>
      </c>
      <c r="D2" s="2" t="n">
        <v>0.0160065004602074</v>
      </c>
      <c r="F2" s="3" t="b">
        <f aca="false">FALSE()</f>
        <v>0</v>
      </c>
      <c r="G2" s="2" t="n">
        <v>0.0097666000947356</v>
      </c>
      <c r="H2" s="2" t="n">
        <v>0.0160065004602074</v>
      </c>
      <c r="I2" s="2" t="n">
        <v>0.516604900360107</v>
      </c>
      <c r="J2" s="2" t="n">
        <v>0.516604900360107</v>
      </c>
      <c r="K2" s="2" t="n">
        <v>0.525871500372887</v>
      </c>
      <c r="L2" s="2" t="n">
        <v>0.809289599768817</v>
      </c>
      <c r="M2" s="2" t="n">
        <v>2.45118760038167</v>
      </c>
      <c r="N2" s="2" t="s">
        <v>26</v>
      </c>
      <c r="O2" s="2" t="n">
        <v>10</v>
      </c>
      <c r="P2" s="2" t="n">
        <v>1</v>
      </c>
      <c r="Q2" s="2" t="n">
        <v>1</v>
      </c>
      <c r="R2" s="2" t="n">
        <v>1.89560830034316</v>
      </c>
      <c r="S2" s="2" t="n">
        <v>310387</v>
      </c>
      <c r="T2" s="2" t="n">
        <v>1</v>
      </c>
      <c r="U2" s="2" t="s">
        <v>27</v>
      </c>
      <c r="V2" s="2" t="s">
        <v>28</v>
      </c>
      <c r="X2" s="2" t="s">
        <v>29</v>
      </c>
      <c r="Y2" s="2" t="n">
        <v>120.122861311538</v>
      </c>
      <c r="Z2" s="2" t="s">
        <v>30</v>
      </c>
    </row>
    <row r="3" customFormat="false" ht="15" hidden="false" customHeight="false" outlineLevel="0" collapsed="false">
      <c r="A3" s="2" t="n">
        <v>1</v>
      </c>
      <c r="B3" s="2" t="n">
        <v>2</v>
      </c>
      <c r="C3" s="2" t="n">
        <v>8</v>
      </c>
      <c r="D3" s="2" t="n">
        <v>2.45684800017625</v>
      </c>
      <c r="G3" s="2" t="n">
        <v>2.451446400024</v>
      </c>
      <c r="H3" s="2" t="n">
        <v>2.45684800017625</v>
      </c>
      <c r="I3" s="2" t="n">
        <v>2.94167449977249</v>
      </c>
      <c r="J3" s="2" t="n">
        <v>2.94167449977249</v>
      </c>
      <c r="K3" s="2" t="n">
        <v>2.9505826998502</v>
      </c>
      <c r="L3" s="2" t="n">
        <v>3.23424340039492</v>
      </c>
      <c r="M3" s="2" t="n">
        <v>4.71773570030928</v>
      </c>
      <c r="N3" s="2" t="s">
        <v>26</v>
      </c>
      <c r="O3" s="2" t="n">
        <v>8</v>
      </c>
      <c r="P3" s="2" t="n">
        <v>1</v>
      </c>
      <c r="Q3" s="2" t="n">
        <v>1</v>
      </c>
      <c r="R3" s="2" t="n">
        <v>1.76928630005568</v>
      </c>
      <c r="S3" s="2" t="n">
        <v>310387</v>
      </c>
      <c r="T3" s="2" t="n">
        <v>1</v>
      </c>
      <c r="U3" s="2" t="s">
        <v>27</v>
      </c>
      <c r="V3" s="2" t="s">
        <v>28</v>
      </c>
      <c r="X3" s="2" t="s">
        <v>29</v>
      </c>
      <c r="Y3" s="2" t="n">
        <v>120.122861311538</v>
      </c>
      <c r="Z3" s="2" t="s">
        <v>30</v>
      </c>
    </row>
    <row r="4" customFormat="false" ht="15" hidden="false" customHeight="false" outlineLevel="0" collapsed="false">
      <c r="A4" s="2" t="n">
        <v>2</v>
      </c>
      <c r="B4" s="2" t="n">
        <v>2</v>
      </c>
      <c r="C4" s="2" t="n">
        <v>6</v>
      </c>
      <c r="D4" s="2" t="n">
        <v>4.7248162003234</v>
      </c>
      <c r="G4" s="2" t="n">
        <v>4.71800750028342</v>
      </c>
      <c r="H4" s="2" t="n">
        <v>4.7248162003234</v>
      </c>
      <c r="I4" s="2" t="n">
        <v>5.20918309967965</v>
      </c>
      <c r="J4" s="2" t="n">
        <v>5.20918309967965</v>
      </c>
      <c r="K4" s="2" t="n">
        <v>5.21777800004929</v>
      </c>
      <c r="L4" s="2" t="n">
        <v>5.50054039992392</v>
      </c>
      <c r="M4" s="2" t="n">
        <v>5.56848600041121</v>
      </c>
      <c r="N4" s="2" t="s">
        <v>26</v>
      </c>
      <c r="O4" s="2" t="n">
        <v>6</v>
      </c>
      <c r="P4" s="2" t="n">
        <v>1</v>
      </c>
      <c r="Q4" s="2" t="n">
        <v>1</v>
      </c>
      <c r="R4" s="2" t="n">
        <v>0.355853100307286</v>
      </c>
      <c r="S4" s="2" t="n">
        <v>310387</v>
      </c>
      <c r="T4" s="2" t="n">
        <v>1</v>
      </c>
      <c r="U4" s="2" t="s">
        <v>27</v>
      </c>
      <c r="V4" s="2" t="s">
        <v>28</v>
      </c>
      <c r="X4" s="2" t="s">
        <v>29</v>
      </c>
      <c r="Y4" s="2" t="n">
        <v>120.122861311538</v>
      </c>
      <c r="Z4" s="2" t="s">
        <v>30</v>
      </c>
    </row>
    <row r="5" customFormat="false" ht="15" hidden="false" customHeight="false" outlineLevel="0" collapsed="false">
      <c r="A5" s="2" t="n">
        <v>3</v>
      </c>
      <c r="B5" s="2" t="n">
        <v>1</v>
      </c>
      <c r="C5" s="2" t="n">
        <v>4</v>
      </c>
      <c r="D5" s="2" t="n">
        <v>5.57473720051348</v>
      </c>
      <c r="G5" s="2" t="n">
        <v>5.56883960030973</v>
      </c>
      <c r="H5" s="2" t="n">
        <v>5.57473720051348</v>
      </c>
      <c r="I5" s="2" t="n">
        <v>6.06735199969262</v>
      </c>
      <c r="J5" s="2" t="n">
        <v>6.06735199969262</v>
      </c>
      <c r="K5" s="2" t="n">
        <v>6.06735199969262</v>
      </c>
      <c r="L5" s="2" t="n">
        <v>6.35932669974864</v>
      </c>
      <c r="M5" s="2" t="n">
        <v>6.44223299995065</v>
      </c>
      <c r="N5" s="2" t="s">
        <v>26</v>
      </c>
      <c r="O5" s="2" t="n">
        <v>-4</v>
      </c>
      <c r="P5" s="2" t="n">
        <v>0</v>
      </c>
      <c r="Q5" s="2" t="n">
        <v>0</v>
      </c>
      <c r="R5" s="2" t="n">
        <v>0.369389500468969</v>
      </c>
      <c r="S5" s="2" t="n">
        <v>310387</v>
      </c>
      <c r="T5" s="2" t="n">
        <v>1</v>
      </c>
      <c r="U5" s="2" t="s">
        <v>27</v>
      </c>
      <c r="V5" s="2" t="s">
        <v>28</v>
      </c>
      <c r="X5" s="2" t="s">
        <v>29</v>
      </c>
      <c r="Y5" s="2" t="n">
        <v>120.122861311538</v>
      </c>
      <c r="Z5" s="2" t="s">
        <v>30</v>
      </c>
    </row>
    <row r="6" customFormat="false" ht="15" hidden="false" customHeight="false" outlineLevel="0" collapsed="false">
      <c r="A6" s="2" t="n">
        <v>4</v>
      </c>
      <c r="B6" s="2" t="n">
        <v>1</v>
      </c>
      <c r="C6" s="2" t="n">
        <v>5</v>
      </c>
      <c r="D6" s="2" t="n">
        <v>6.44994510058314</v>
      </c>
      <c r="G6" s="2" t="n">
        <v>6.4424822004512</v>
      </c>
      <c r="H6" s="2" t="n">
        <v>6.44994510058314</v>
      </c>
      <c r="I6" s="2" t="n">
        <v>6.93358440045267</v>
      </c>
      <c r="J6" s="2" t="n">
        <v>6.93358440045267</v>
      </c>
      <c r="K6" s="2" t="n">
        <v>6.9418115997687</v>
      </c>
      <c r="M6" s="2" t="n">
        <v>7.20155949983746</v>
      </c>
      <c r="N6" s="2" t="s">
        <v>26</v>
      </c>
      <c r="O6" s="2" t="n">
        <v>-5</v>
      </c>
      <c r="P6" s="2" t="n">
        <v>1</v>
      </c>
      <c r="Q6" s="2" t="n">
        <v>1</v>
      </c>
      <c r="R6" s="2" t="n">
        <v>0.266603900119662</v>
      </c>
      <c r="S6" s="2" t="n">
        <v>310387</v>
      </c>
      <c r="T6" s="2" t="n">
        <v>1</v>
      </c>
      <c r="U6" s="2" t="s">
        <v>27</v>
      </c>
      <c r="V6" s="2" t="s">
        <v>28</v>
      </c>
      <c r="X6" s="2" t="s">
        <v>29</v>
      </c>
      <c r="Y6" s="2" t="n">
        <v>120.122861311538</v>
      </c>
      <c r="Z6" s="2" t="s">
        <v>30</v>
      </c>
    </row>
    <row r="7" customFormat="false" ht="15" hidden="false" customHeight="false" outlineLevel="0" collapsed="false">
      <c r="A7" s="2" t="n">
        <v>5</v>
      </c>
      <c r="B7" s="2" t="n">
        <v>1</v>
      </c>
      <c r="C7" s="2" t="n">
        <v>5</v>
      </c>
      <c r="D7" s="2" t="n">
        <v>7.20849280059338</v>
      </c>
      <c r="G7" s="2" t="n">
        <v>7.20183550007641</v>
      </c>
      <c r="H7" s="2" t="n">
        <v>7.20849280059338</v>
      </c>
      <c r="I7" s="2" t="n">
        <v>7.70042630005628</v>
      </c>
      <c r="J7" s="2" t="n">
        <v>7.70042630005628</v>
      </c>
      <c r="K7" s="2" t="n">
        <v>7.70042630005628</v>
      </c>
      <c r="L7" s="2" t="n">
        <v>7.99253000039607</v>
      </c>
      <c r="M7" s="2" t="n">
        <v>8.31216759979725</v>
      </c>
      <c r="N7" s="2" t="s">
        <v>26</v>
      </c>
      <c r="O7" s="2" t="n">
        <v>5</v>
      </c>
      <c r="P7" s="2" t="n">
        <v>0</v>
      </c>
      <c r="Q7" s="2" t="n">
        <v>0</v>
      </c>
      <c r="R7" s="2" t="n">
        <v>0.608312599360943</v>
      </c>
      <c r="S7" s="2" t="n">
        <v>310387</v>
      </c>
      <c r="T7" s="2" t="n">
        <v>1</v>
      </c>
      <c r="U7" s="2" t="s">
        <v>27</v>
      </c>
      <c r="V7" s="2" t="s">
        <v>28</v>
      </c>
      <c r="X7" s="2" t="s">
        <v>29</v>
      </c>
      <c r="Y7" s="2" t="n">
        <v>120.122861311538</v>
      </c>
      <c r="Z7" s="2" t="s">
        <v>30</v>
      </c>
    </row>
    <row r="8" customFormat="false" ht="15" hidden="false" customHeight="false" outlineLevel="0" collapsed="false">
      <c r="A8" s="2" t="n">
        <v>6</v>
      </c>
      <c r="B8" s="2" t="n">
        <v>1</v>
      </c>
      <c r="C8" s="2" t="n">
        <v>6</v>
      </c>
      <c r="D8" s="2" t="n">
        <v>8.32365380041301</v>
      </c>
      <c r="G8" s="2" t="n">
        <v>8.3124540001154</v>
      </c>
      <c r="H8" s="2" t="n">
        <v>8.32365380041301</v>
      </c>
      <c r="I8" s="2" t="n">
        <v>8.80875070020556</v>
      </c>
      <c r="J8" s="2" t="n">
        <v>8.80875070020556</v>
      </c>
      <c r="K8" s="2" t="n">
        <v>8.81776400003582</v>
      </c>
      <c r="L8" s="2" t="n">
        <v>9.10026340000331</v>
      </c>
      <c r="M8" s="2" t="n">
        <v>9.30888320039958</v>
      </c>
      <c r="N8" s="2" t="s">
        <v>26</v>
      </c>
      <c r="O8" s="2" t="n">
        <v>6</v>
      </c>
      <c r="P8" s="2" t="n">
        <v>1</v>
      </c>
      <c r="Q8" s="2" t="n">
        <v>1</v>
      </c>
      <c r="R8" s="2" t="n">
        <v>0.496119000017643</v>
      </c>
      <c r="S8" s="2" t="n">
        <v>310387</v>
      </c>
      <c r="T8" s="2" t="n">
        <v>1</v>
      </c>
      <c r="U8" s="2" t="s">
        <v>27</v>
      </c>
      <c r="V8" s="2" t="s">
        <v>28</v>
      </c>
      <c r="X8" s="2" t="s">
        <v>29</v>
      </c>
      <c r="Y8" s="2" t="n">
        <v>120.122861311538</v>
      </c>
      <c r="Z8" s="2" t="s">
        <v>30</v>
      </c>
    </row>
    <row r="9" customFormat="false" ht="15" hidden="false" customHeight="false" outlineLevel="0" collapsed="false">
      <c r="A9" s="2" t="n">
        <v>7</v>
      </c>
      <c r="B9" s="2" t="n">
        <v>1</v>
      </c>
      <c r="C9" s="2" t="n">
        <v>6</v>
      </c>
      <c r="D9" s="2" t="n">
        <v>9.31665309984237</v>
      </c>
      <c r="G9" s="2" t="n">
        <v>9.30913669988513</v>
      </c>
      <c r="H9" s="2" t="n">
        <v>9.31665309984237</v>
      </c>
      <c r="I9" s="2" t="n">
        <v>9.80052619986236</v>
      </c>
      <c r="J9" s="2" t="n">
        <v>9.80052619986236</v>
      </c>
      <c r="K9" s="2" t="n">
        <v>9.80862629972399</v>
      </c>
      <c r="L9" s="2" t="n">
        <v>10.093020000495</v>
      </c>
      <c r="M9" s="2" t="n">
        <v>10.2666352000088</v>
      </c>
      <c r="N9" s="2" t="s">
        <v>26</v>
      </c>
      <c r="O9" s="2" t="n">
        <v>-6</v>
      </c>
      <c r="P9" s="2" t="n">
        <v>0</v>
      </c>
      <c r="Q9" s="2" t="n">
        <v>0</v>
      </c>
      <c r="R9" s="2" t="n">
        <v>0.452589299529791</v>
      </c>
      <c r="S9" s="2" t="n">
        <v>310387</v>
      </c>
      <c r="T9" s="2" t="n">
        <v>1</v>
      </c>
      <c r="U9" s="2" t="s">
        <v>27</v>
      </c>
      <c r="V9" s="2" t="s">
        <v>28</v>
      </c>
      <c r="X9" s="2" t="s">
        <v>29</v>
      </c>
      <c r="Y9" s="2" t="n">
        <v>120.122861311538</v>
      </c>
      <c r="Z9" s="2" t="s">
        <v>30</v>
      </c>
    </row>
    <row r="10" customFormat="false" ht="15" hidden="false" customHeight="false" outlineLevel="0" collapsed="false">
      <c r="A10" s="2" t="n">
        <v>8</v>
      </c>
      <c r="B10" s="2" t="n">
        <v>1</v>
      </c>
      <c r="C10" s="2" t="n">
        <v>7</v>
      </c>
      <c r="D10" s="2" t="n">
        <v>10.2756241997704</v>
      </c>
      <c r="G10" s="2" t="n">
        <v>10.2670122003183</v>
      </c>
      <c r="H10" s="2" t="n">
        <v>10.2756241997704</v>
      </c>
      <c r="I10" s="2" t="n">
        <v>10.7583886003122</v>
      </c>
      <c r="J10" s="2" t="n">
        <v>10.7583886003122</v>
      </c>
      <c r="K10" s="2" t="n">
        <v>10.7675413005054</v>
      </c>
      <c r="L10" s="2" t="n">
        <v>11.0507207000628</v>
      </c>
      <c r="M10" s="2" t="n">
        <v>11.0750523004681</v>
      </c>
      <c r="N10" s="2" t="s">
        <v>26</v>
      </c>
      <c r="O10" s="2" t="n">
        <v>7</v>
      </c>
      <c r="P10" s="2" t="n">
        <v>1</v>
      </c>
      <c r="Q10" s="2" t="n">
        <v>1</v>
      </c>
      <c r="R10" s="2" t="n">
        <v>0.311743699945509</v>
      </c>
      <c r="S10" s="2" t="n">
        <v>310387</v>
      </c>
      <c r="T10" s="2" t="n">
        <v>1</v>
      </c>
      <c r="U10" s="2" t="s">
        <v>27</v>
      </c>
      <c r="V10" s="2" t="s">
        <v>28</v>
      </c>
      <c r="X10" s="2" t="s">
        <v>29</v>
      </c>
      <c r="Y10" s="2" t="n">
        <v>120.122861311538</v>
      </c>
      <c r="Z10" s="2" t="s">
        <v>30</v>
      </c>
    </row>
    <row r="11" customFormat="false" ht="15" hidden="false" customHeight="false" outlineLevel="0" collapsed="false">
      <c r="A11" s="2" t="n">
        <v>9</v>
      </c>
      <c r="B11" s="2" t="n">
        <v>1</v>
      </c>
      <c r="C11" s="2" t="n">
        <v>7</v>
      </c>
      <c r="D11" s="2" t="n">
        <v>11.083928800188</v>
      </c>
      <c r="G11" s="2" t="n">
        <v>11.0752926003188</v>
      </c>
      <c r="H11" s="2" t="n">
        <v>11.083928800188</v>
      </c>
      <c r="I11" s="2" t="n">
        <v>11.5668438002467</v>
      </c>
      <c r="J11" s="2" t="n">
        <v>11.5668438002467</v>
      </c>
      <c r="K11" s="2" t="n">
        <v>11.5755638005212</v>
      </c>
      <c r="L11" s="2" t="n">
        <v>11.8593156002462</v>
      </c>
      <c r="M11" s="2" t="n">
        <v>12.0924316002056</v>
      </c>
      <c r="N11" s="2" t="s">
        <v>26</v>
      </c>
      <c r="O11" s="2" t="n">
        <v>7</v>
      </c>
      <c r="P11" s="2" t="n">
        <v>1</v>
      </c>
      <c r="Q11" s="2" t="n">
        <v>1</v>
      </c>
      <c r="R11" s="2" t="n">
        <v>0.517199599184096</v>
      </c>
      <c r="S11" s="2" t="n">
        <v>310387</v>
      </c>
      <c r="T11" s="2" t="n">
        <v>1</v>
      </c>
      <c r="U11" s="2" t="s">
        <v>27</v>
      </c>
      <c r="V11" s="2" t="s">
        <v>28</v>
      </c>
      <c r="X11" s="2" t="s">
        <v>29</v>
      </c>
      <c r="Y11" s="2" t="n">
        <v>120.122861311538</v>
      </c>
      <c r="Z11" s="2" t="s">
        <v>30</v>
      </c>
    </row>
    <row r="12" customFormat="false" ht="15" hidden="false" customHeight="false" outlineLevel="0" collapsed="false">
      <c r="A12" s="2" t="n">
        <v>10</v>
      </c>
      <c r="B12" s="2" t="n">
        <v>1</v>
      </c>
      <c r="C12" s="2" t="n">
        <v>7</v>
      </c>
      <c r="D12" s="2" t="n">
        <v>12.1002425001934</v>
      </c>
      <c r="G12" s="2" t="n">
        <v>12.0927073005587</v>
      </c>
      <c r="H12" s="2" t="n">
        <v>12.1002425001934</v>
      </c>
      <c r="I12" s="2" t="n">
        <v>12.5838719997555</v>
      </c>
      <c r="J12" s="2" t="n">
        <v>12.5838719997555</v>
      </c>
      <c r="K12" s="2" t="n">
        <v>12.5920957997441</v>
      </c>
      <c r="L12" s="2" t="n">
        <v>12.8761675003916</v>
      </c>
      <c r="M12" s="2" t="n">
        <v>12.9253813000396</v>
      </c>
      <c r="N12" s="2" t="s">
        <v>26</v>
      </c>
      <c r="O12" s="2" t="n">
        <v>7</v>
      </c>
      <c r="P12" s="2" t="n">
        <v>1</v>
      </c>
      <c r="Q12" s="2" t="n">
        <v>1</v>
      </c>
      <c r="R12" s="2" t="n">
        <v>0.336295300163329</v>
      </c>
      <c r="S12" s="2" t="n">
        <v>310387</v>
      </c>
      <c r="T12" s="2" t="n">
        <v>1</v>
      </c>
      <c r="U12" s="2" t="s">
        <v>27</v>
      </c>
      <c r="V12" s="2" t="s">
        <v>28</v>
      </c>
      <c r="X12" s="2" t="s">
        <v>29</v>
      </c>
      <c r="Y12" s="2" t="n">
        <v>120.122861311538</v>
      </c>
      <c r="Z12" s="2" t="s">
        <v>30</v>
      </c>
    </row>
    <row r="13" customFormat="false" ht="15" hidden="false" customHeight="false" outlineLevel="0" collapsed="false">
      <c r="A13" s="2" t="n">
        <v>11</v>
      </c>
      <c r="B13" s="2" t="n">
        <v>0.5</v>
      </c>
      <c r="C13" s="2" t="n">
        <v>6</v>
      </c>
      <c r="D13" s="2" t="n">
        <v>12.9331066003069</v>
      </c>
      <c r="G13" s="2" t="n">
        <v>12.9256551004946</v>
      </c>
      <c r="H13" s="2" t="n">
        <v>12.9331066003069</v>
      </c>
      <c r="I13" s="2" t="n">
        <v>13.4172195000574</v>
      </c>
      <c r="J13" s="2" t="n">
        <v>13.4172195000574</v>
      </c>
      <c r="K13" s="2" t="n">
        <v>13.4256972000003</v>
      </c>
      <c r="L13" s="2" t="n">
        <v>13.7105528004468</v>
      </c>
      <c r="M13" s="2" t="n">
        <v>13.8764647003263</v>
      </c>
      <c r="N13" s="2" t="s">
        <v>26</v>
      </c>
      <c r="O13" s="2" t="n">
        <v>-6</v>
      </c>
      <c r="P13" s="2" t="n">
        <v>0</v>
      </c>
      <c r="Q13" s="2" t="n">
        <v>0</v>
      </c>
      <c r="R13" s="2" t="n">
        <v>0.455730199813843</v>
      </c>
      <c r="S13" s="2" t="n">
        <v>310387</v>
      </c>
      <c r="T13" s="2" t="n">
        <v>1</v>
      </c>
      <c r="U13" s="2" t="s">
        <v>27</v>
      </c>
      <c r="V13" s="2" t="s">
        <v>28</v>
      </c>
      <c r="X13" s="2" t="s">
        <v>29</v>
      </c>
      <c r="Y13" s="2" t="n">
        <v>120.122861311538</v>
      </c>
      <c r="Z13" s="2" t="s">
        <v>30</v>
      </c>
    </row>
    <row r="14" customFormat="false" ht="15" hidden="false" customHeight="false" outlineLevel="0" collapsed="false">
      <c r="A14" s="2" t="n">
        <v>12</v>
      </c>
      <c r="B14" s="2" t="n">
        <v>0.5</v>
      </c>
      <c r="C14" s="2" t="n">
        <v>6.5</v>
      </c>
      <c r="D14" s="2" t="n">
        <v>13.8832261003554</v>
      </c>
      <c r="G14" s="2" t="n">
        <v>13.8767996001989</v>
      </c>
      <c r="H14" s="2" t="n">
        <v>13.8832261003554</v>
      </c>
      <c r="I14" s="2" t="n">
        <v>14.3752679005265</v>
      </c>
      <c r="J14" s="2" t="n">
        <v>14.3752679005265</v>
      </c>
      <c r="K14" s="2" t="n">
        <v>14.3752679005265</v>
      </c>
      <c r="M14" s="2" t="n">
        <v>14.6430021002889</v>
      </c>
      <c r="N14" s="2" t="s">
        <v>26</v>
      </c>
      <c r="O14" s="2" t="n">
        <v>6.5</v>
      </c>
      <c r="P14" s="2" t="n">
        <v>1</v>
      </c>
      <c r="Q14" s="2" t="n">
        <v>1</v>
      </c>
      <c r="R14" s="2" t="n">
        <v>0.262192400172353</v>
      </c>
      <c r="S14" s="2" t="n">
        <v>310387</v>
      </c>
      <c r="T14" s="2" t="n">
        <v>1</v>
      </c>
      <c r="U14" s="2" t="s">
        <v>27</v>
      </c>
      <c r="V14" s="2" t="s">
        <v>28</v>
      </c>
      <c r="X14" s="2" t="s">
        <v>29</v>
      </c>
      <c r="Y14" s="2" t="n">
        <v>120.122861311538</v>
      </c>
      <c r="Z14" s="2" t="s">
        <v>30</v>
      </c>
    </row>
    <row r="15" customFormat="false" ht="15" hidden="false" customHeight="false" outlineLevel="0" collapsed="false">
      <c r="A15" s="2" t="n">
        <v>13</v>
      </c>
      <c r="B15" s="2" t="n">
        <v>0.5</v>
      </c>
      <c r="C15" s="2" t="n">
        <v>6.5</v>
      </c>
      <c r="D15" s="2" t="n">
        <v>14.6497114002705</v>
      </c>
      <c r="G15" s="2" t="n">
        <v>14.64328869991</v>
      </c>
      <c r="H15" s="2" t="n">
        <v>14.6497114002705</v>
      </c>
      <c r="I15" s="2" t="n">
        <v>15.1338531998918</v>
      </c>
      <c r="J15" s="2" t="n">
        <v>15.1338531998918</v>
      </c>
      <c r="K15" s="2" t="n">
        <v>15.1422180002555</v>
      </c>
      <c r="L15" s="2" t="n">
        <v>15.4257179005072</v>
      </c>
      <c r="M15" s="2" t="n">
        <v>15.6863384004682</v>
      </c>
      <c r="N15" s="2" t="s">
        <v>26</v>
      </c>
      <c r="O15" s="2" t="n">
        <v>6.5</v>
      </c>
      <c r="P15" s="2" t="n">
        <v>1</v>
      </c>
      <c r="Q15" s="2" t="n">
        <v>1</v>
      </c>
      <c r="R15" s="2" t="n">
        <v>0.548714600503445</v>
      </c>
      <c r="S15" s="2" t="n">
        <v>310387</v>
      </c>
      <c r="T15" s="2" t="n">
        <v>1</v>
      </c>
      <c r="U15" s="2" t="s">
        <v>27</v>
      </c>
      <c r="V15" s="2" t="s">
        <v>28</v>
      </c>
      <c r="X15" s="2" t="s">
        <v>29</v>
      </c>
      <c r="Y15" s="2" t="n">
        <v>120.122861311538</v>
      </c>
      <c r="Z15" s="2" t="s">
        <v>30</v>
      </c>
    </row>
    <row r="16" customFormat="false" ht="15" hidden="false" customHeight="false" outlineLevel="0" collapsed="false">
      <c r="A16" s="2" t="n">
        <v>14</v>
      </c>
      <c r="B16" s="2" t="n">
        <v>0.5</v>
      </c>
      <c r="C16" s="2" t="n">
        <v>6.5</v>
      </c>
      <c r="D16" s="2" t="n">
        <v>15.6991202002391</v>
      </c>
      <c r="G16" s="2" t="n">
        <v>15.6866677999497</v>
      </c>
      <c r="H16" s="2" t="n">
        <v>15.6991202002391</v>
      </c>
      <c r="I16" s="2" t="n">
        <v>16.1841069003567</v>
      </c>
      <c r="J16" s="2" t="n">
        <v>16.1841069003567</v>
      </c>
      <c r="K16" s="2" t="n">
        <v>16.1922046002001</v>
      </c>
      <c r="L16" s="2" t="n">
        <v>16.475493600592</v>
      </c>
      <c r="M16" s="2" t="n">
        <v>16.6332882000133</v>
      </c>
      <c r="N16" s="2" t="s">
        <v>26</v>
      </c>
      <c r="O16" s="2" t="n">
        <v>-6.5</v>
      </c>
      <c r="P16" s="2" t="n">
        <v>0</v>
      </c>
      <c r="Q16" s="2" t="n">
        <v>0</v>
      </c>
      <c r="R16" s="2" t="n">
        <v>0.444601699709892</v>
      </c>
      <c r="S16" s="2" t="n">
        <v>310387</v>
      </c>
      <c r="T16" s="2" t="n">
        <v>1</v>
      </c>
      <c r="U16" s="2" t="s">
        <v>27</v>
      </c>
      <c r="V16" s="2" t="s">
        <v>28</v>
      </c>
      <c r="X16" s="2" t="s">
        <v>29</v>
      </c>
      <c r="Y16" s="2" t="n">
        <v>120.122861311538</v>
      </c>
      <c r="Z16" s="2" t="s">
        <v>30</v>
      </c>
    </row>
    <row r="17" customFormat="false" ht="15" hidden="false" customHeight="false" outlineLevel="0" collapsed="false">
      <c r="A17" s="2" t="n">
        <v>15</v>
      </c>
      <c r="B17" s="2" t="n">
        <v>0.5</v>
      </c>
      <c r="C17" s="2" t="n">
        <v>7</v>
      </c>
      <c r="D17" s="2" t="n">
        <v>16.64158950001</v>
      </c>
      <c r="G17" s="2" t="n">
        <v>16.6335279000923</v>
      </c>
      <c r="H17" s="2" t="n">
        <v>16.64158950001</v>
      </c>
      <c r="I17" s="2" t="n">
        <v>17.1248626997694</v>
      </c>
      <c r="J17" s="2" t="n">
        <v>17.1248626997694</v>
      </c>
      <c r="K17" s="2" t="n">
        <v>17.1332189999521</v>
      </c>
      <c r="M17" s="2" t="n">
        <v>17.3936227997765</v>
      </c>
      <c r="N17" s="2" t="s">
        <v>26</v>
      </c>
      <c r="O17" s="2" t="n">
        <v>-7</v>
      </c>
      <c r="P17" s="2" t="n">
        <v>1</v>
      </c>
      <c r="Q17" s="2" t="n">
        <v>1</v>
      </c>
      <c r="R17" s="2" t="n">
        <v>0.266848100349307</v>
      </c>
      <c r="S17" s="2" t="n">
        <v>310387</v>
      </c>
      <c r="T17" s="2" t="n">
        <v>1</v>
      </c>
      <c r="U17" s="2" t="s">
        <v>27</v>
      </c>
      <c r="V17" s="2" t="s">
        <v>28</v>
      </c>
      <c r="X17" s="2" t="s">
        <v>29</v>
      </c>
      <c r="Y17" s="2" t="n">
        <v>120.122861311538</v>
      </c>
      <c r="Z17" s="2" t="s">
        <v>30</v>
      </c>
    </row>
    <row r="18" customFormat="false" ht="15" hidden="false" customHeight="false" outlineLevel="0" collapsed="false">
      <c r="A18" s="2" t="n">
        <v>16</v>
      </c>
      <c r="B18" s="2" t="n">
        <v>0.5</v>
      </c>
      <c r="C18" s="2" t="n">
        <v>7</v>
      </c>
      <c r="D18" s="2" t="n">
        <v>17.3998034000397</v>
      </c>
      <c r="G18" s="2" t="n">
        <v>17.3939019003883</v>
      </c>
      <c r="H18" s="2" t="n">
        <v>17.3998034000397</v>
      </c>
      <c r="I18" s="2" t="n">
        <v>17.891870399937</v>
      </c>
      <c r="J18" s="2" t="n">
        <v>17.891870399937</v>
      </c>
      <c r="K18" s="2" t="n">
        <v>17.891870399937</v>
      </c>
      <c r="L18" s="2" t="n">
        <v>18.1832673000172</v>
      </c>
      <c r="M18" s="2" t="n">
        <v>18.3925312999636</v>
      </c>
      <c r="N18" s="2" t="s">
        <v>26</v>
      </c>
      <c r="O18" s="2" t="n">
        <v>-7</v>
      </c>
      <c r="P18" s="2" t="n">
        <v>0</v>
      </c>
      <c r="Q18" s="2" t="n">
        <v>0</v>
      </c>
      <c r="R18" s="2" t="n">
        <v>0.493427899666131</v>
      </c>
      <c r="S18" s="2" t="n">
        <v>310387</v>
      </c>
      <c r="T18" s="2" t="n">
        <v>1</v>
      </c>
      <c r="U18" s="2" t="s">
        <v>27</v>
      </c>
      <c r="V18" s="2" t="s">
        <v>28</v>
      </c>
      <c r="X18" s="2" t="s">
        <v>29</v>
      </c>
      <c r="Y18" s="2" t="n">
        <v>120.122861311538</v>
      </c>
      <c r="Z18" s="2" t="s">
        <v>30</v>
      </c>
    </row>
    <row r="19" customFormat="false" ht="15" hidden="false" customHeight="false" outlineLevel="0" collapsed="false">
      <c r="A19" s="2" t="n">
        <v>17</v>
      </c>
      <c r="B19" s="2" t="n">
        <v>0.5</v>
      </c>
      <c r="C19" s="2" t="n">
        <v>7.5</v>
      </c>
      <c r="D19" s="2" t="n">
        <v>18.3994957003743</v>
      </c>
      <c r="G19" s="2" t="n">
        <v>18.3928746003658</v>
      </c>
      <c r="H19" s="2" t="n">
        <v>18.3994957003743</v>
      </c>
      <c r="I19" s="2" t="n">
        <v>18.883595299907</v>
      </c>
      <c r="J19" s="2" t="n">
        <v>18.883595299907</v>
      </c>
      <c r="K19" s="2" t="n">
        <v>18.8923263000324</v>
      </c>
      <c r="M19" s="2" t="n">
        <v>19.1182431997731</v>
      </c>
      <c r="N19" s="2" t="s">
        <v>26</v>
      </c>
      <c r="O19" s="2" t="n">
        <v>7.5</v>
      </c>
      <c r="P19" s="2" t="n">
        <v>1</v>
      </c>
      <c r="Q19" s="2" t="n">
        <v>1</v>
      </c>
      <c r="R19" s="2" t="n">
        <v>0.230518599972129</v>
      </c>
      <c r="S19" s="2" t="n">
        <v>310387</v>
      </c>
      <c r="T19" s="2" t="n">
        <v>1</v>
      </c>
      <c r="U19" s="2" t="s">
        <v>27</v>
      </c>
      <c r="V19" s="2" t="s">
        <v>28</v>
      </c>
      <c r="X19" s="2" t="s">
        <v>29</v>
      </c>
      <c r="Y19" s="2" t="n">
        <v>120.122861311538</v>
      </c>
      <c r="Z19" s="2" t="s">
        <v>30</v>
      </c>
    </row>
    <row r="20" customFormat="false" ht="15" hidden="false" customHeight="false" outlineLevel="0" collapsed="false">
      <c r="A20" s="2" t="n">
        <v>18</v>
      </c>
      <c r="B20" s="2" t="n">
        <v>0.5</v>
      </c>
      <c r="C20" s="2" t="n">
        <v>7.5</v>
      </c>
      <c r="D20" s="2" t="n">
        <v>19.1248019998893</v>
      </c>
      <c r="G20" s="2" t="n">
        <v>19.1185571001843</v>
      </c>
      <c r="H20" s="2" t="n">
        <v>19.1248019998893</v>
      </c>
      <c r="I20" s="2" t="n">
        <v>19.6156457001343</v>
      </c>
      <c r="J20" s="2" t="n">
        <v>19.6156457001343</v>
      </c>
      <c r="K20" s="2" t="n">
        <v>19.6156457001343</v>
      </c>
      <c r="L20" s="2" t="n">
        <v>19.909356799908</v>
      </c>
      <c r="M20" s="2" t="n">
        <v>20.0004030996934</v>
      </c>
      <c r="N20" s="2" t="s">
        <v>26</v>
      </c>
      <c r="O20" s="2" t="n">
        <v>-7.5</v>
      </c>
      <c r="P20" s="2" t="n">
        <v>0</v>
      </c>
      <c r="Q20" s="2" t="n">
        <v>0</v>
      </c>
      <c r="R20" s="2" t="n">
        <v>0.380985100753605</v>
      </c>
      <c r="S20" s="2" t="n">
        <v>310387</v>
      </c>
      <c r="T20" s="2" t="n">
        <v>1</v>
      </c>
      <c r="U20" s="2" t="s">
        <v>27</v>
      </c>
      <c r="V20" s="2" t="s">
        <v>28</v>
      </c>
      <c r="X20" s="2" t="s">
        <v>29</v>
      </c>
      <c r="Y20" s="2" t="n">
        <v>120.122861311538</v>
      </c>
      <c r="Z20" s="2" t="s">
        <v>30</v>
      </c>
    </row>
    <row r="21" customFormat="false" ht="15" hidden="false" customHeight="false" outlineLevel="0" collapsed="false">
      <c r="A21" s="2" t="n">
        <v>19</v>
      </c>
      <c r="B21" s="2" t="n">
        <v>0.5</v>
      </c>
      <c r="C21" s="2" t="n">
        <v>8</v>
      </c>
      <c r="D21" s="2" t="n">
        <v>20.0082234004512</v>
      </c>
      <c r="G21" s="2" t="n">
        <v>20.0007404005155</v>
      </c>
      <c r="H21" s="2" t="n">
        <v>20.0082234004512</v>
      </c>
      <c r="I21" s="2" t="n">
        <v>20.491394800134</v>
      </c>
      <c r="J21" s="2" t="n">
        <v>20.491394800134</v>
      </c>
      <c r="K21" s="2" t="n">
        <v>20.5005772002041</v>
      </c>
      <c r="M21" s="2" t="n">
        <v>20.733781799674</v>
      </c>
      <c r="N21" s="2" t="s">
        <v>26</v>
      </c>
      <c r="O21" s="2" t="n">
        <v>-8</v>
      </c>
      <c r="P21" s="2" t="n">
        <v>1</v>
      </c>
      <c r="Q21" s="2" t="n">
        <v>1</v>
      </c>
      <c r="R21" s="2" t="n">
        <v>0.236993400380015</v>
      </c>
      <c r="S21" s="2" t="n">
        <v>310387</v>
      </c>
      <c r="T21" s="2" t="n">
        <v>1</v>
      </c>
      <c r="U21" s="2" t="s">
        <v>27</v>
      </c>
      <c r="V21" s="2" t="s">
        <v>28</v>
      </c>
      <c r="X21" s="2" t="s">
        <v>29</v>
      </c>
      <c r="Y21" s="2" t="n">
        <v>120.122861311538</v>
      </c>
      <c r="Z21" s="2" t="s">
        <v>30</v>
      </c>
    </row>
    <row r="22" customFormat="false" ht="15" hidden="false" customHeight="false" outlineLevel="0" collapsed="false">
      <c r="A22" s="2" t="n">
        <v>20</v>
      </c>
      <c r="B22" s="2" t="n">
        <v>0.5</v>
      </c>
      <c r="C22" s="2" t="n">
        <v>8</v>
      </c>
      <c r="D22" s="2" t="n">
        <v>20.7423165999353</v>
      </c>
      <c r="G22" s="2" t="n">
        <v>20.7340657003224</v>
      </c>
      <c r="H22" s="2" t="n">
        <v>20.7423165999353</v>
      </c>
      <c r="I22" s="2" t="n">
        <v>21.2251193001866</v>
      </c>
      <c r="J22" s="2" t="n">
        <v>21.2251193001866</v>
      </c>
      <c r="K22" s="2" t="n">
        <v>21.2333749001846</v>
      </c>
      <c r="L22" s="2" t="n">
        <v>21.516311599873</v>
      </c>
      <c r="M22" s="2" t="n">
        <v>21.7263422999531</v>
      </c>
      <c r="N22" s="2" t="s">
        <v>26</v>
      </c>
      <c r="O22" s="2" t="n">
        <v>8</v>
      </c>
      <c r="P22" s="2" t="n">
        <v>1</v>
      </c>
      <c r="Q22" s="2" t="n">
        <v>1</v>
      </c>
      <c r="R22" s="2" t="n">
        <v>0.497683399356902</v>
      </c>
      <c r="S22" s="2" t="n">
        <v>310387</v>
      </c>
      <c r="T22" s="2" t="n">
        <v>1</v>
      </c>
      <c r="U22" s="2" t="s">
        <v>27</v>
      </c>
      <c r="V22" s="2" t="s">
        <v>28</v>
      </c>
      <c r="X22" s="2" t="s">
        <v>29</v>
      </c>
      <c r="Y22" s="2" t="n">
        <v>120.122861311538</v>
      </c>
      <c r="Z22" s="2" t="s">
        <v>30</v>
      </c>
    </row>
    <row r="23" customFormat="false" ht="15" hidden="false" customHeight="false" outlineLevel="0" collapsed="false">
      <c r="A23" s="2" t="n">
        <v>21</v>
      </c>
      <c r="B23" s="2" t="n">
        <v>0.5</v>
      </c>
      <c r="C23" s="2" t="n">
        <v>8</v>
      </c>
      <c r="D23" s="2" t="n">
        <v>21.7328260000795</v>
      </c>
      <c r="G23" s="2" t="n">
        <v>21.726684300229</v>
      </c>
      <c r="H23" s="2" t="n">
        <v>21.7328260000795</v>
      </c>
      <c r="I23" s="2" t="n">
        <v>22.2254045996815</v>
      </c>
      <c r="J23" s="2" t="n">
        <v>22.2254045996815</v>
      </c>
      <c r="K23" s="2" t="n">
        <v>22.2254045996815</v>
      </c>
      <c r="L23" s="2" t="n">
        <v>22.5171643998474</v>
      </c>
      <c r="M23" s="2" t="n">
        <v>22.5756938001141</v>
      </c>
      <c r="N23" s="2" t="s">
        <v>26</v>
      </c>
      <c r="O23" s="2" t="n">
        <v>-8</v>
      </c>
      <c r="P23" s="2" t="n">
        <v>0</v>
      </c>
      <c r="Q23" s="2" t="n">
        <v>0</v>
      </c>
      <c r="R23" s="2" t="n">
        <v>0.347606100142002</v>
      </c>
      <c r="S23" s="2" t="n">
        <v>310387</v>
      </c>
      <c r="T23" s="2" t="n">
        <v>1</v>
      </c>
      <c r="U23" s="2" t="s">
        <v>27</v>
      </c>
      <c r="V23" s="2" t="s">
        <v>28</v>
      </c>
      <c r="X23" s="2" t="s">
        <v>29</v>
      </c>
      <c r="Y23" s="2" t="n">
        <v>120.122861311538</v>
      </c>
      <c r="Z23" s="2" t="s">
        <v>30</v>
      </c>
    </row>
    <row r="24" customFormat="false" ht="15" hidden="false" customHeight="false" outlineLevel="0" collapsed="false">
      <c r="A24" s="2" t="n">
        <v>22</v>
      </c>
      <c r="B24" s="2" t="n">
        <v>0.5</v>
      </c>
      <c r="C24" s="2" t="n">
        <v>8.5</v>
      </c>
      <c r="D24" s="2" t="n">
        <v>22.5828218003735</v>
      </c>
      <c r="G24" s="2" t="n">
        <v>22.5759829999879</v>
      </c>
      <c r="H24" s="2" t="n">
        <v>22.5828218003735</v>
      </c>
      <c r="I24" s="2" t="n">
        <v>23.0666901003569</v>
      </c>
      <c r="J24" s="2" t="n">
        <v>23.0666901003569</v>
      </c>
      <c r="K24" s="2" t="n">
        <v>23.0753987003118</v>
      </c>
      <c r="L24" s="2" t="n">
        <v>23.3586523998529</v>
      </c>
      <c r="M24" s="2" t="n">
        <v>23.3769669001922</v>
      </c>
      <c r="N24" s="2" t="s">
        <v>26</v>
      </c>
      <c r="O24" s="2" t="n">
        <v>8.5</v>
      </c>
      <c r="P24" s="2" t="n">
        <v>1</v>
      </c>
      <c r="Q24" s="2" t="n">
        <v>1</v>
      </c>
      <c r="R24" s="2" t="n">
        <v>0.306663500145078</v>
      </c>
      <c r="S24" s="2" t="n">
        <v>310387</v>
      </c>
      <c r="T24" s="2" t="n">
        <v>1</v>
      </c>
      <c r="U24" s="2" t="s">
        <v>27</v>
      </c>
      <c r="V24" s="2" t="s">
        <v>28</v>
      </c>
      <c r="X24" s="2" t="s">
        <v>29</v>
      </c>
      <c r="Y24" s="2" t="n">
        <v>120.122861311538</v>
      </c>
      <c r="Z24" s="2" t="s">
        <v>30</v>
      </c>
    </row>
    <row r="25" customFormat="false" ht="15" hidden="false" customHeight="false" outlineLevel="0" collapsed="false">
      <c r="A25" s="2" t="n">
        <v>23</v>
      </c>
      <c r="B25" s="2" t="n">
        <v>0.5</v>
      </c>
      <c r="C25" s="2" t="n">
        <v>8.5</v>
      </c>
      <c r="D25" s="2" t="n">
        <v>23.3825543997809</v>
      </c>
      <c r="G25" s="2" t="n">
        <v>23.3772240001708</v>
      </c>
      <c r="H25" s="2" t="n">
        <v>23.3825543997809</v>
      </c>
      <c r="I25" s="2" t="n">
        <v>23.8758204998449</v>
      </c>
      <c r="J25" s="2" t="n">
        <v>23.8758204998449</v>
      </c>
      <c r="K25" s="2" t="n">
        <v>23.8758204998449</v>
      </c>
      <c r="L25" s="2" t="n">
        <v>24.1674822000787</v>
      </c>
      <c r="M25" s="2" t="n">
        <v>24.2835159003735</v>
      </c>
      <c r="N25" s="2" t="s">
        <v>26</v>
      </c>
      <c r="O25" s="2" t="n">
        <v>8.5</v>
      </c>
      <c r="P25" s="2" t="n">
        <v>1</v>
      </c>
      <c r="Q25" s="2" t="n">
        <v>1</v>
      </c>
      <c r="R25" s="2" t="n">
        <v>0.40206400025636</v>
      </c>
      <c r="S25" s="2" t="n">
        <v>310387</v>
      </c>
      <c r="T25" s="2" t="n">
        <v>1</v>
      </c>
      <c r="U25" s="2" t="s">
        <v>27</v>
      </c>
      <c r="V25" s="2" t="s">
        <v>28</v>
      </c>
      <c r="X25" s="2" t="s">
        <v>29</v>
      </c>
      <c r="Y25" s="2" t="n">
        <v>120.122861311538</v>
      </c>
      <c r="Z25" s="2" t="s">
        <v>30</v>
      </c>
    </row>
    <row r="26" customFormat="false" ht="15" hidden="false" customHeight="false" outlineLevel="0" collapsed="false">
      <c r="A26" s="2" t="n">
        <v>24</v>
      </c>
      <c r="B26" s="2" t="n">
        <v>0.5</v>
      </c>
      <c r="C26" s="2" t="n">
        <v>8.5</v>
      </c>
      <c r="D26" s="2" t="n">
        <v>24.2912199003622</v>
      </c>
      <c r="G26" s="2" t="n">
        <v>24.2837740005925</v>
      </c>
      <c r="H26" s="2" t="n">
        <v>24.2912199003622</v>
      </c>
      <c r="I26" s="2" t="n">
        <v>24.7756507005543</v>
      </c>
      <c r="J26" s="2" t="n">
        <v>24.7756507005543</v>
      </c>
      <c r="K26" s="2" t="n">
        <v>24.783345900476</v>
      </c>
      <c r="L26" s="2" t="n">
        <v>25.0664077997208</v>
      </c>
      <c r="M26" s="2" t="n">
        <v>25.1099709998816</v>
      </c>
      <c r="N26" s="2" t="s">
        <v>26</v>
      </c>
      <c r="O26" s="2" t="n">
        <v>-8.5</v>
      </c>
      <c r="P26" s="2" t="n">
        <v>0</v>
      </c>
      <c r="Q26" s="2" t="n">
        <v>0</v>
      </c>
      <c r="R26" s="2" t="n">
        <v>0.330019100569189</v>
      </c>
      <c r="S26" s="2" t="n">
        <v>310387</v>
      </c>
      <c r="T26" s="2" t="n">
        <v>1</v>
      </c>
      <c r="U26" s="2" t="s">
        <v>27</v>
      </c>
      <c r="V26" s="2" t="s">
        <v>28</v>
      </c>
      <c r="X26" s="2" t="s">
        <v>29</v>
      </c>
      <c r="Y26" s="2" t="n">
        <v>120.122861311538</v>
      </c>
      <c r="Z26" s="2" t="s">
        <v>30</v>
      </c>
    </row>
    <row r="27" customFormat="false" ht="15" hidden="false" customHeight="false" outlineLevel="0" collapsed="false">
      <c r="A27" s="2" t="n">
        <v>25</v>
      </c>
      <c r="B27" s="2" t="n">
        <v>0.5</v>
      </c>
      <c r="C27" s="2" t="n">
        <v>9</v>
      </c>
      <c r="D27" s="2" t="n">
        <v>25.1242796005681</v>
      </c>
      <c r="G27" s="2" t="n">
        <v>25.1103645004332</v>
      </c>
      <c r="H27" s="2" t="n">
        <v>25.1242796005681</v>
      </c>
      <c r="I27" s="2" t="n">
        <v>25.6079082004726</v>
      </c>
      <c r="J27" s="2" t="n">
        <v>25.6079082004726</v>
      </c>
      <c r="K27" s="2" t="n">
        <v>25.6166173005477</v>
      </c>
      <c r="L27" s="2" t="n">
        <v>25.9006988005713</v>
      </c>
      <c r="M27" s="2" t="n">
        <v>25.9201453998685</v>
      </c>
      <c r="N27" s="2" t="s">
        <v>26</v>
      </c>
      <c r="O27" s="2" t="n">
        <v>-9</v>
      </c>
      <c r="P27" s="2" t="n">
        <v>1</v>
      </c>
      <c r="Q27" s="2" t="n">
        <v>1</v>
      </c>
      <c r="R27" s="2" t="n">
        <v>0.309327800758183</v>
      </c>
      <c r="S27" s="2" t="n">
        <v>310387</v>
      </c>
      <c r="T27" s="2" t="n">
        <v>1</v>
      </c>
      <c r="U27" s="2" t="s">
        <v>27</v>
      </c>
      <c r="V27" s="2" t="s">
        <v>28</v>
      </c>
      <c r="X27" s="2" t="s">
        <v>29</v>
      </c>
      <c r="Y27" s="2" t="n">
        <v>120.122861311538</v>
      </c>
      <c r="Z27" s="2" t="s">
        <v>30</v>
      </c>
    </row>
    <row r="28" customFormat="false" ht="15" hidden="false" customHeight="false" outlineLevel="0" collapsed="false">
      <c r="A28" s="2" t="n">
        <v>26</v>
      </c>
      <c r="B28" s="2" t="n">
        <v>0.5</v>
      </c>
      <c r="C28" s="2" t="n">
        <v>9</v>
      </c>
      <c r="D28" s="2" t="n">
        <v>25.9321336997673</v>
      </c>
      <c r="G28" s="2" t="n">
        <v>25.9203797001392</v>
      </c>
      <c r="H28" s="2" t="n">
        <v>25.9321336997673</v>
      </c>
      <c r="I28" s="2" t="n">
        <v>26.4167769001797</v>
      </c>
      <c r="J28" s="2" t="n">
        <v>26.4167769001797</v>
      </c>
      <c r="K28" s="2" t="n">
        <v>26.4257239997387</v>
      </c>
      <c r="M28" s="2" t="n">
        <v>26.6942809997127</v>
      </c>
      <c r="N28" s="2" t="s">
        <v>26</v>
      </c>
      <c r="O28" s="2" t="n">
        <v>9</v>
      </c>
      <c r="P28" s="2" t="n">
        <v>1</v>
      </c>
      <c r="Q28" s="2" t="n">
        <v>1</v>
      </c>
      <c r="R28" s="2" t="n">
        <v>0.275261700153351</v>
      </c>
      <c r="S28" s="2" t="n">
        <v>310387</v>
      </c>
      <c r="T28" s="2" t="n">
        <v>1</v>
      </c>
      <c r="U28" s="2" t="s">
        <v>27</v>
      </c>
      <c r="V28" s="2" t="s">
        <v>28</v>
      </c>
      <c r="X28" s="2" t="s">
        <v>29</v>
      </c>
      <c r="Y28" s="2" t="n">
        <v>120.122861311538</v>
      </c>
      <c r="Z28" s="2" t="s">
        <v>30</v>
      </c>
    </row>
    <row r="29" customFormat="false" ht="15" hidden="false" customHeight="false" outlineLevel="0" collapsed="false">
      <c r="A29" s="2" t="n">
        <v>27</v>
      </c>
      <c r="B29" s="2" t="n">
        <v>0.5</v>
      </c>
      <c r="C29" s="2" t="n">
        <v>9</v>
      </c>
      <c r="D29" s="2" t="n">
        <v>26.7070118999109</v>
      </c>
      <c r="G29" s="2" t="n">
        <v>26.6945115998387</v>
      </c>
      <c r="H29" s="2" t="n">
        <v>26.7070118999109</v>
      </c>
      <c r="I29" s="2" t="n">
        <v>27.1913347002119</v>
      </c>
      <c r="J29" s="2" t="n">
        <v>27.1913347002119</v>
      </c>
      <c r="K29" s="2" t="n">
        <v>27.200191100128</v>
      </c>
      <c r="L29" s="2" t="n">
        <v>27.4836200997233</v>
      </c>
      <c r="M29" s="2" t="n">
        <v>27.5997582999989</v>
      </c>
      <c r="N29" s="2" t="s">
        <v>26</v>
      </c>
      <c r="O29" s="2" t="n">
        <v>9</v>
      </c>
      <c r="P29" s="2" t="n">
        <v>1</v>
      </c>
      <c r="Q29" s="2" t="n">
        <v>1</v>
      </c>
      <c r="R29" s="2" t="n">
        <v>0.394423799589276</v>
      </c>
      <c r="S29" s="2" t="n">
        <v>310387</v>
      </c>
      <c r="T29" s="2" t="n">
        <v>1</v>
      </c>
      <c r="U29" s="2" t="s">
        <v>27</v>
      </c>
      <c r="V29" s="2" t="s">
        <v>28</v>
      </c>
      <c r="X29" s="2" t="s">
        <v>29</v>
      </c>
      <c r="Y29" s="2" t="n">
        <v>120.122861311538</v>
      </c>
      <c r="Z29" s="2" t="s">
        <v>30</v>
      </c>
    </row>
    <row r="30" customFormat="false" ht="15" hidden="false" customHeight="false" outlineLevel="0" collapsed="false">
      <c r="A30" s="2" t="n">
        <v>28</v>
      </c>
      <c r="B30" s="2" t="n">
        <v>0.5</v>
      </c>
      <c r="C30" s="2" t="n">
        <v>8.5</v>
      </c>
      <c r="D30" s="2" t="n">
        <v>27.6079059001058</v>
      </c>
      <c r="G30" s="2" t="n">
        <v>27.6000548005104</v>
      </c>
      <c r="H30" s="2" t="n">
        <v>27.6079059001058</v>
      </c>
      <c r="I30" s="2" t="n">
        <v>28.0915107997134</v>
      </c>
      <c r="J30" s="2" t="n">
        <v>28.0915107997134</v>
      </c>
      <c r="K30" s="2" t="n">
        <v>28.1004667999223</v>
      </c>
      <c r="L30" s="2" t="n">
        <v>28.3834710000083</v>
      </c>
      <c r="M30" s="2" t="n">
        <v>28.4165006997064</v>
      </c>
      <c r="N30" s="2" t="s">
        <v>26</v>
      </c>
      <c r="O30" s="2" t="n">
        <v>-8.5</v>
      </c>
      <c r="P30" s="2" t="n">
        <v>0</v>
      </c>
      <c r="Q30" s="2" t="n">
        <v>0</v>
      </c>
      <c r="R30" s="2" t="n">
        <v>0.31773620005697</v>
      </c>
      <c r="S30" s="2" t="n">
        <v>310387</v>
      </c>
      <c r="T30" s="2" t="n">
        <v>1</v>
      </c>
      <c r="U30" s="2" t="s">
        <v>27</v>
      </c>
      <c r="V30" s="2" t="s">
        <v>28</v>
      </c>
      <c r="X30" s="2" t="s">
        <v>29</v>
      </c>
      <c r="Y30" s="2" t="n">
        <v>120.122861311538</v>
      </c>
      <c r="Z30" s="2" t="s">
        <v>30</v>
      </c>
    </row>
    <row r="31" customFormat="false" ht="15" hidden="false" customHeight="false" outlineLevel="0" collapsed="false">
      <c r="A31" s="2" t="n">
        <v>29</v>
      </c>
      <c r="B31" s="2" t="n">
        <v>0.5</v>
      </c>
      <c r="C31" s="2" t="n">
        <v>9</v>
      </c>
      <c r="D31" s="2" t="n">
        <v>28.4250087998807</v>
      </c>
      <c r="G31" s="2" t="n">
        <v>28.4167601997033</v>
      </c>
      <c r="H31" s="2" t="n">
        <v>28.4250087998807</v>
      </c>
      <c r="I31" s="2" t="n">
        <v>28.908181199804</v>
      </c>
      <c r="J31" s="2" t="n">
        <v>28.908181199804</v>
      </c>
      <c r="K31" s="2" t="n">
        <v>28.916053599678</v>
      </c>
      <c r="L31" s="2" t="n">
        <v>29.2025167997927</v>
      </c>
      <c r="M31" s="2" t="n">
        <v>29.2030723998323</v>
      </c>
      <c r="N31" s="2" t="s">
        <v>26</v>
      </c>
      <c r="O31" s="2" t="n">
        <v>-9</v>
      </c>
      <c r="P31" s="2" t="n">
        <v>1</v>
      </c>
      <c r="Q31" s="2" t="n">
        <v>1</v>
      </c>
      <c r="R31" s="2" t="n">
        <v>0.291577800177038</v>
      </c>
      <c r="S31" s="2" t="n">
        <v>310387</v>
      </c>
      <c r="T31" s="2" t="n">
        <v>1</v>
      </c>
      <c r="U31" s="2" t="s">
        <v>27</v>
      </c>
      <c r="V31" s="2" t="s">
        <v>28</v>
      </c>
      <c r="X31" s="2" t="s">
        <v>29</v>
      </c>
      <c r="Y31" s="2" t="n">
        <v>120.122861311538</v>
      </c>
      <c r="Z31" s="2" t="s">
        <v>30</v>
      </c>
    </row>
    <row r="32" customFormat="false" ht="15" hidden="false" customHeight="false" outlineLevel="0" collapsed="false">
      <c r="A32" s="2" t="n">
        <v>30</v>
      </c>
      <c r="B32" s="2" t="n">
        <v>0.5</v>
      </c>
      <c r="C32" s="2" t="n">
        <v>9</v>
      </c>
      <c r="D32" s="2" t="n">
        <v>29.215827899985</v>
      </c>
      <c r="G32" s="2" t="n">
        <v>29.2033425001428</v>
      </c>
      <c r="H32" s="2" t="n">
        <v>29.215827899985</v>
      </c>
      <c r="I32" s="2" t="n">
        <v>29.6994599001482</v>
      </c>
      <c r="J32" s="2" t="n">
        <v>29.6994599001482</v>
      </c>
      <c r="K32" s="2" t="n">
        <v>29.7081741997972</v>
      </c>
      <c r="L32" s="2" t="n">
        <v>29.9915661998093</v>
      </c>
      <c r="M32" s="2" t="n">
        <v>30.1836727000773</v>
      </c>
      <c r="N32" s="2" t="s">
        <v>26</v>
      </c>
      <c r="O32" s="2" t="n">
        <v>-9</v>
      </c>
      <c r="P32" s="2" t="n">
        <v>0</v>
      </c>
      <c r="Q32" s="2" t="n">
        <v>0</v>
      </c>
      <c r="R32" s="2" t="n">
        <v>0.479840599931777</v>
      </c>
      <c r="S32" s="2" t="n">
        <v>310387</v>
      </c>
      <c r="T32" s="2" t="n">
        <v>1</v>
      </c>
      <c r="U32" s="2" t="s">
        <v>27</v>
      </c>
      <c r="V32" s="2" t="s">
        <v>28</v>
      </c>
      <c r="X32" s="2" t="s">
        <v>29</v>
      </c>
      <c r="Y32" s="2" t="n">
        <v>120.122861311538</v>
      </c>
      <c r="Z32" s="2" t="s">
        <v>30</v>
      </c>
    </row>
    <row r="33" customFormat="false" ht="15" hidden="false" customHeight="false" outlineLevel="0" collapsed="false">
      <c r="A33" s="2" t="n">
        <v>31</v>
      </c>
      <c r="B33" s="2" t="n">
        <v>0.5</v>
      </c>
      <c r="C33" s="2" t="n">
        <v>9.5</v>
      </c>
      <c r="D33" s="2" t="n">
        <v>30.1915867002681</v>
      </c>
      <c r="G33" s="2" t="n">
        <v>30.1839660005644</v>
      </c>
      <c r="H33" s="2" t="n">
        <v>30.1915867002681</v>
      </c>
      <c r="I33" s="2" t="n">
        <v>30.6748297000304</v>
      </c>
      <c r="J33" s="2" t="n">
        <v>30.6748297000304</v>
      </c>
      <c r="K33" s="2" t="n">
        <v>30.6824574004859</v>
      </c>
      <c r="L33" s="2" t="n">
        <v>30.9671382997185</v>
      </c>
      <c r="M33" s="2" t="n">
        <v>31.057791300118</v>
      </c>
      <c r="N33" s="2" t="s">
        <v>26</v>
      </c>
      <c r="O33" s="2" t="n">
        <v>-9.5</v>
      </c>
      <c r="P33" s="2" t="n">
        <v>0</v>
      </c>
      <c r="Q33" s="2" t="n">
        <v>0</v>
      </c>
      <c r="R33" s="2" t="n">
        <v>0.378780100494623</v>
      </c>
      <c r="S33" s="2" t="n">
        <v>310387</v>
      </c>
      <c r="T33" s="2" t="n">
        <v>1</v>
      </c>
      <c r="U33" s="2" t="s">
        <v>27</v>
      </c>
      <c r="V33" s="2" t="s">
        <v>28</v>
      </c>
      <c r="X33" s="2" t="s">
        <v>29</v>
      </c>
      <c r="Y33" s="2" t="n">
        <v>120.122861311538</v>
      </c>
      <c r="Z33" s="2" t="s">
        <v>30</v>
      </c>
    </row>
    <row r="34" customFormat="false" ht="15" hidden="false" customHeight="false" outlineLevel="0" collapsed="false">
      <c r="A34" s="2" t="n">
        <v>32</v>
      </c>
      <c r="B34" s="2" t="n">
        <v>0.5</v>
      </c>
      <c r="C34" s="2" t="n">
        <v>10</v>
      </c>
      <c r="D34" s="2" t="n">
        <v>31.0663779005408</v>
      </c>
      <c r="G34" s="2" t="n">
        <v>31.0580663001165</v>
      </c>
      <c r="H34" s="2" t="n">
        <v>31.0663779005408</v>
      </c>
      <c r="I34" s="2" t="n">
        <v>31.5499521000311</v>
      </c>
      <c r="J34" s="2" t="n">
        <v>31.5499521000311</v>
      </c>
      <c r="K34" s="2" t="n">
        <v>31.5586695997044</v>
      </c>
      <c r="L34" s="2" t="n">
        <v>31.842373800464</v>
      </c>
      <c r="M34" s="2" t="n">
        <v>31.957631399855</v>
      </c>
      <c r="N34" s="2" t="s">
        <v>26</v>
      </c>
      <c r="O34" s="2" t="n">
        <v>10</v>
      </c>
      <c r="P34" s="2" t="n">
        <v>1</v>
      </c>
      <c r="Q34" s="2" t="n">
        <v>1</v>
      </c>
      <c r="R34" s="2" t="n">
        <v>0.394731899723411</v>
      </c>
      <c r="S34" s="2" t="n">
        <v>310387</v>
      </c>
      <c r="T34" s="2" t="n">
        <v>1</v>
      </c>
      <c r="U34" s="2" t="s">
        <v>27</v>
      </c>
      <c r="V34" s="2" t="s">
        <v>28</v>
      </c>
      <c r="X34" s="2" t="s">
        <v>29</v>
      </c>
      <c r="Y34" s="2" t="n">
        <v>120.122861311538</v>
      </c>
      <c r="Z34" s="2" t="s">
        <v>30</v>
      </c>
    </row>
    <row r="35" customFormat="false" ht="15" hidden="false" customHeight="false" outlineLevel="0" collapsed="false">
      <c r="A35" s="2" t="n">
        <v>33</v>
      </c>
      <c r="B35" s="2" t="n">
        <v>0.5</v>
      </c>
      <c r="C35" s="2" t="n">
        <v>10</v>
      </c>
      <c r="D35" s="2" t="n">
        <v>31.9663615003228</v>
      </c>
      <c r="G35" s="2" t="n">
        <v>31.9579750997946</v>
      </c>
      <c r="H35" s="2" t="n">
        <v>31.9663615003228</v>
      </c>
      <c r="I35" s="2" t="n">
        <v>32.4497889000922</v>
      </c>
      <c r="J35" s="2" t="n">
        <v>32.4497889000922</v>
      </c>
      <c r="K35" s="2" t="n">
        <v>32.4583946000785</v>
      </c>
      <c r="M35" s="2" t="n">
        <v>32.7245177002624</v>
      </c>
      <c r="N35" s="2" t="s">
        <v>26</v>
      </c>
      <c r="O35" s="2" t="n">
        <v>-10</v>
      </c>
      <c r="P35" s="2" t="n">
        <v>0</v>
      </c>
      <c r="Q35" s="2" t="n">
        <v>0</v>
      </c>
      <c r="R35" s="2" t="n">
        <v>0.269936400465667</v>
      </c>
      <c r="S35" s="2" t="n">
        <v>310387</v>
      </c>
      <c r="T35" s="2" t="n">
        <v>1</v>
      </c>
      <c r="U35" s="2" t="s">
        <v>27</v>
      </c>
      <c r="V35" s="2" t="s">
        <v>28</v>
      </c>
      <c r="X35" s="2" t="s">
        <v>29</v>
      </c>
      <c r="Y35" s="2" t="n">
        <v>120.122861311538</v>
      </c>
      <c r="Z35" s="2" t="s">
        <v>30</v>
      </c>
    </row>
    <row r="36" customFormat="false" ht="15" hidden="false" customHeight="false" outlineLevel="0" collapsed="false">
      <c r="A36" s="2" t="n">
        <v>34</v>
      </c>
      <c r="B36" s="2" t="n">
        <v>0.5</v>
      </c>
      <c r="C36" s="2" t="n">
        <v>10.5</v>
      </c>
      <c r="D36" s="2" t="n">
        <v>32.7326646000147</v>
      </c>
      <c r="G36" s="2" t="n">
        <v>32.724763199687</v>
      </c>
      <c r="H36" s="2" t="n">
        <v>32.7326646000147</v>
      </c>
      <c r="I36" s="2" t="n">
        <v>33.2159726005048</v>
      </c>
      <c r="J36" s="2" t="n">
        <v>33.2159726005048</v>
      </c>
      <c r="K36" s="2" t="n">
        <v>33.2250415002927</v>
      </c>
      <c r="L36" s="2" t="n">
        <v>33.5091626998037</v>
      </c>
      <c r="M36" s="2" t="n">
        <v>33.6252286005765</v>
      </c>
      <c r="N36" s="2" t="s">
        <v>26</v>
      </c>
      <c r="O36" s="2" t="n">
        <v>-10.5</v>
      </c>
      <c r="P36" s="2" t="n">
        <v>0</v>
      </c>
      <c r="Q36" s="2" t="n">
        <v>0</v>
      </c>
      <c r="R36" s="2" t="n">
        <v>0.402797600254416</v>
      </c>
      <c r="S36" s="2" t="n">
        <v>310387</v>
      </c>
      <c r="T36" s="2" t="n">
        <v>1</v>
      </c>
      <c r="U36" s="2" t="s">
        <v>27</v>
      </c>
      <c r="V36" s="2" t="s">
        <v>28</v>
      </c>
      <c r="X36" s="2" t="s">
        <v>29</v>
      </c>
      <c r="Y36" s="2" t="n">
        <v>120.122861311538</v>
      </c>
      <c r="Z36" s="2" t="s">
        <v>30</v>
      </c>
    </row>
    <row r="37" customFormat="false" ht="15" hidden="false" customHeight="false" outlineLevel="0" collapsed="false">
      <c r="A37" s="2" t="n">
        <v>35</v>
      </c>
      <c r="B37" s="2" t="n">
        <v>0.5</v>
      </c>
      <c r="C37" s="2" t="n">
        <v>11</v>
      </c>
      <c r="D37" s="2" t="n">
        <v>33.6334108002484</v>
      </c>
      <c r="G37" s="2" t="n">
        <v>33.6255438998342</v>
      </c>
      <c r="H37" s="2" t="n">
        <v>33.6334108002484</v>
      </c>
      <c r="I37" s="2" t="n">
        <v>34.1162163000554</v>
      </c>
      <c r="J37" s="2" t="n">
        <v>34.1162163000554</v>
      </c>
      <c r="K37" s="2" t="n">
        <v>34.1248241998255</v>
      </c>
      <c r="L37" s="2" t="n">
        <v>34.4086206005886</v>
      </c>
      <c r="M37" s="2" t="n">
        <v>34.500785600394</v>
      </c>
      <c r="N37" s="2" t="s">
        <v>26</v>
      </c>
      <c r="O37" s="2" t="n">
        <v>-11</v>
      </c>
      <c r="P37" s="2" t="n">
        <v>0</v>
      </c>
      <c r="Q37" s="2" t="n">
        <v>0</v>
      </c>
      <c r="R37" s="2" t="n">
        <v>0.381111100316048</v>
      </c>
      <c r="S37" s="2" t="n">
        <v>310387</v>
      </c>
      <c r="T37" s="2" t="n">
        <v>1</v>
      </c>
      <c r="U37" s="2" t="s">
        <v>27</v>
      </c>
      <c r="V37" s="2" t="s">
        <v>28</v>
      </c>
      <c r="X37" s="2" t="s">
        <v>29</v>
      </c>
      <c r="Y37" s="2" t="n">
        <v>120.122861311538</v>
      </c>
      <c r="Z37" s="2" t="s">
        <v>30</v>
      </c>
    </row>
    <row r="38" customFormat="false" ht="15" hidden="false" customHeight="false" outlineLevel="0" collapsed="false">
      <c r="A38" s="2" t="n">
        <v>36</v>
      </c>
      <c r="B38" s="2" t="n">
        <v>0.5</v>
      </c>
      <c r="C38" s="2" t="n">
        <v>11.5</v>
      </c>
      <c r="D38" s="2" t="n">
        <v>34.5076189003885</v>
      </c>
      <c r="G38" s="2" t="n">
        <v>34.5010604001582</v>
      </c>
      <c r="H38" s="2" t="n">
        <v>34.5076189003885</v>
      </c>
      <c r="I38" s="2" t="n">
        <v>34.9992853999138</v>
      </c>
      <c r="J38" s="2" t="n">
        <v>34.9992853999138</v>
      </c>
      <c r="K38" s="2" t="n">
        <v>34.9992853999138</v>
      </c>
      <c r="L38" s="2" t="n">
        <v>35.290163599886</v>
      </c>
      <c r="M38" s="2" t="n">
        <v>35.3082194002345</v>
      </c>
      <c r="N38" s="2" t="s">
        <v>26</v>
      </c>
      <c r="O38" s="2" t="n">
        <v>-11.5</v>
      </c>
      <c r="P38" s="2" t="n">
        <v>0</v>
      </c>
      <c r="Q38" s="2" t="n">
        <v>0</v>
      </c>
      <c r="R38" s="2" t="n">
        <v>0.30429320037365</v>
      </c>
      <c r="S38" s="2" t="n">
        <v>310387</v>
      </c>
      <c r="T38" s="2" t="n">
        <v>1</v>
      </c>
      <c r="U38" s="2" t="s">
        <v>27</v>
      </c>
      <c r="V38" s="2" t="s">
        <v>28</v>
      </c>
      <c r="X38" s="2" t="s">
        <v>29</v>
      </c>
      <c r="Y38" s="2" t="n">
        <v>120.122861311538</v>
      </c>
      <c r="Z38" s="2" t="s">
        <v>30</v>
      </c>
    </row>
    <row r="39" customFormat="false" ht="15" hidden="false" customHeight="false" outlineLevel="0" collapsed="false">
      <c r="A39" s="2" t="n">
        <v>37</v>
      </c>
      <c r="B39" s="2" t="n">
        <v>0.5</v>
      </c>
      <c r="C39" s="2" t="n">
        <v>12</v>
      </c>
      <c r="D39" s="2" t="n">
        <v>35.3161728996784</v>
      </c>
      <c r="G39" s="2" t="n">
        <v>35.3084478005767</v>
      </c>
      <c r="H39" s="2" t="n">
        <v>35.3161728996784</v>
      </c>
      <c r="I39" s="2" t="n">
        <v>35.7998401001096</v>
      </c>
      <c r="J39" s="2" t="n">
        <v>35.7998401001096</v>
      </c>
      <c r="K39" s="2" t="n">
        <v>35.8085709000006</v>
      </c>
      <c r="L39" s="2" t="n">
        <v>36.091431800276</v>
      </c>
      <c r="M39" s="2" t="n">
        <v>36.1570039000362</v>
      </c>
      <c r="N39" s="2" t="s">
        <v>26</v>
      </c>
      <c r="O39" s="2" t="n">
        <v>12</v>
      </c>
      <c r="P39" s="2" t="n">
        <v>0</v>
      </c>
      <c r="Q39" s="2" t="n">
        <v>0</v>
      </c>
      <c r="R39" s="2" t="n">
        <v>0.35478060040623</v>
      </c>
      <c r="S39" s="2" t="n">
        <v>310387</v>
      </c>
      <c r="T39" s="2" t="n">
        <v>1</v>
      </c>
      <c r="U39" s="2" t="s">
        <v>27</v>
      </c>
      <c r="V39" s="2" t="s">
        <v>28</v>
      </c>
      <c r="X39" s="2" t="s">
        <v>29</v>
      </c>
      <c r="Y39" s="2" t="n">
        <v>120.122861311538</v>
      </c>
      <c r="Z39" s="2" t="s">
        <v>30</v>
      </c>
    </row>
    <row r="40" customFormat="false" ht="15" hidden="false" customHeight="false" outlineLevel="0" collapsed="false">
      <c r="A40" s="2" t="n">
        <v>38</v>
      </c>
      <c r="B40" s="2" t="n">
        <v>0.5</v>
      </c>
      <c r="C40" s="2" t="n">
        <v>12.5</v>
      </c>
      <c r="D40" s="2" t="n">
        <v>36.1649417001754</v>
      </c>
      <c r="G40" s="2" t="n">
        <v>36.1571689005941</v>
      </c>
      <c r="H40" s="2" t="n">
        <v>36.1649417001754</v>
      </c>
      <c r="I40" s="2" t="n">
        <v>36.6487653004006</v>
      </c>
      <c r="J40" s="2" t="n">
        <v>36.6487653004006</v>
      </c>
      <c r="K40" s="2" t="n">
        <v>36.6566898003221</v>
      </c>
      <c r="L40" s="2" t="n">
        <v>36.9405167996883</v>
      </c>
      <c r="M40" s="2" t="n">
        <v>37.1777065005153</v>
      </c>
      <c r="N40" s="2" t="s">
        <v>26</v>
      </c>
      <c r="O40" s="2" t="n">
        <v>-12.5</v>
      </c>
      <c r="P40" s="2" t="n">
        <v>0</v>
      </c>
      <c r="Q40" s="2" t="n">
        <v>0</v>
      </c>
      <c r="R40" s="2" t="n">
        <v>0.525460000149906</v>
      </c>
      <c r="S40" s="2" t="n">
        <v>310387</v>
      </c>
      <c r="T40" s="2" t="n">
        <v>1</v>
      </c>
      <c r="U40" s="2" t="s">
        <v>27</v>
      </c>
      <c r="V40" s="2" t="s">
        <v>28</v>
      </c>
      <c r="X40" s="2" t="s">
        <v>29</v>
      </c>
      <c r="Y40" s="2" t="n">
        <v>120.122861311538</v>
      </c>
      <c r="Z40" s="2" t="s">
        <v>30</v>
      </c>
    </row>
    <row r="41" customFormat="false" ht="15" hidden="false" customHeight="false" outlineLevel="0" collapsed="false">
      <c r="A41" s="2" t="n">
        <v>39</v>
      </c>
      <c r="B41" s="2" t="n">
        <v>0.5</v>
      </c>
      <c r="C41" s="2" t="n">
        <v>13</v>
      </c>
      <c r="D41" s="2" t="n">
        <v>37.1890118997544</v>
      </c>
      <c r="G41" s="2" t="n">
        <v>37.1779995998368</v>
      </c>
      <c r="H41" s="2" t="n">
        <v>37.1890118997544</v>
      </c>
      <c r="I41" s="2" t="n">
        <v>37.6742590004578</v>
      </c>
      <c r="J41" s="2" t="n">
        <v>37.6742590004578</v>
      </c>
      <c r="K41" s="2" t="n">
        <v>37.6835997002199</v>
      </c>
      <c r="L41" s="2" t="n">
        <v>37.9667038004845</v>
      </c>
      <c r="M41" s="2" t="n">
        <v>38.1415729001165</v>
      </c>
      <c r="N41" s="2" t="s">
        <v>26</v>
      </c>
      <c r="O41" s="2" t="n">
        <v>-13</v>
      </c>
      <c r="P41" s="2" t="n">
        <v>0</v>
      </c>
      <c r="Q41" s="2" t="n">
        <v>0</v>
      </c>
      <c r="R41" s="2" t="n">
        <v>0.459905799478292</v>
      </c>
      <c r="S41" s="2" t="n">
        <v>310387</v>
      </c>
      <c r="T41" s="2" t="n">
        <v>1</v>
      </c>
      <c r="U41" s="2" t="s">
        <v>27</v>
      </c>
      <c r="V41" s="2" t="s">
        <v>28</v>
      </c>
      <c r="X41" s="2" t="s">
        <v>29</v>
      </c>
      <c r="Y41" s="2" t="n">
        <v>120.122861311538</v>
      </c>
      <c r="Z41" s="2" t="s">
        <v>30</v>
      </c>
    </row>
    <row r="42" customFormat="false" ht="15" hidden="false" customHeight="false" outlineLevel="0" collapsed="false">
      <c r="A42" s="2" t="n">
        <v>40</v>
      </c>
      <c r="B42" s="2" t="n">
        <v>0.5</v>
      </c>
      <c r="C42" s="2" t="n">
        <v>13.5</v>
      </c>
      <c r="D42" s="2" t="n">
        <v>38.1492637004703</v>
      </c>
      <c r="G42" s="2" t="n">
        <v>38.1418254999444</v>
      </c>
      <c r="H42" s="2" t="n">
        <v>38.1492637004703</v>
      </c>
      <c r="I42" s="2" t="n">
        <v>38.6328856004402</v>
      </c>
      <c r="J42" s="2" t="n">
        <v>38.6328856004402</v>
      </c>
      <c r="K42" s="2" t="n">
        <v>38.6419032998383</v>
      </c>
      <c r="L42" s="2" t="n">
        <v>38.9251971002668</v>
      </c>
      <c r="M42" s="2" t="n">
        <v>38.9535028999671</v>
      </c>
      <c r="N42" s="2" t="s">
        <v>26</v>
      </c>
      <c r="O42" s="2" t="n">
        <v>-13.5</v>
      </c>
      <c r="P42" s="2" t="n">
        <v>0</v>
      </c>
      <c r="Q42" s="2" t="n">
        <v>0</v>
      </c>
      <c r="R42" s="2" t="n">
        <v>0.317815899848938</v>
      </c>
      <c r="S42" s="2" t="n">
        <v>310387</v>
      </c>
      <c r="T42" s="2" t="n">
        <v>1</v>
      </c>
      <c r="U42" s="2" t="s">
        <v>27</v>
      </c>
      <c r="V42" s="2" t="s">
        <v>28</v>
      </c>
      <c r="X42" s="2" t="s">
        <v>29</v>
      </c>
      <c r="Y42" s="2" t="n">
        <v>120.122861311538</v>
      </c>
      <c r="Z42" s="2" t="s">
        <v>30</v>
      </c>
    </row>
    <row r="43" customFormat="false" ht="15" hidden="false" customHeight="false" outlineLevel="0" collapsed="false">
      <c r="A43" s="2" t="n">
        <v>41</v>
      </c>
      <c r="B43" s="2" t="n">
        <v>0.5</v>
      </c>
      <c r="C43" s="2" t="n">
        <v>14</v>
      </c>
      <c r="D43" s="2" t="n">
        <v>38.9648834997788</v>
      </c>
      <c r="G43" s="2" t="n">
        <v>38.9537899997085</v>
      </c>
      <c r="H43" s="2" t="n">
        <v>38.9648834997788</v>
      </c>
      <c r="I43" s="2" t="n">
        <v>39.4495550002903</v>
      </c>
      <c r="J43" s="2" t="n">
        <v>39.4495550002903</v>
      </c>
      <c r="K43" s="2" t="n">
        <v>39.4578833002597</v>
      </c>
      <c r="L43" s="2" t="n">
        <v>39.7422898998484</v>
      </c>
      <c r="M43" s="2" t="n">
        <v>39.8341284003109</v>
      </c>
      <c r="N43" s="2" t="s">
        <v>26</v>
      </c>
      <c r="O43" s="2" t="n">
        <v>-14</v>
      </c>
      <c r="P43" s="2" t="n">
        <v>0</v>
      </c>
      <c r="Q43" s="2" t="n">
        <v>0</v>
      </c>
      <c r="R43" s="2" t="n">
        <v>0.380683700554073</v>
      </c>
      <c r="S43" s="2" t="n">
        <v>310387</v>
      </c>
      <c r="T43" s="2" t="n">
        <v>1</v>
      </c>
      <c r="U43" s="2" t="s">
        <v>27</v>
      </c>
      <c r="V43" s="2" t="s">
        <v>28</v>
      </c>
      <c r="X43" s="2" t="s">
        <v>29</v>
      </c>
      <c r="Y43" s="2" t="n">
        <v>120.122861311538</v>
      </c>
      <c r="Z43" s="2" t="s">
        <v>30</v>
      </c>
    </row>
    <row r="44" customFormat="false" ht="15" hidden="false" customHeight="false" outlineLevel="0" collapsed="false">
      <c r="A44" s="2" t="n">
        <v>42</v>
      </c>
      <c r="B44" s="2" t="n">
        <v>0.5</v>
      </c>
      <c r="C44" s="2" t="n">
        <v>14.5</v>
      </c>
      <c r="D44" s="2" t="n">
        <v>39.8404636001214</v>
      </c>
      <c r="G44" s="2" t="n">
        <v>39.8344242004678</v>
      </c>
      <c r="H44" s="2" t="n">
        <v>39.8404636001214</v>
      </c>
      <c r="I44" s="2" t="n">
        <v>40.3248143000528</v>
      </c>
      <c r="J44" s="2" t="n">
        <v>40.3248143000528</v>
      </c>
      <c r="K44" s="2" t="n">
        <v>40.3331665005535</v>
      </c>
      <c r="L44" s="2" t="n">
        <v>40.6164485998452</v>
      </c>
      <c r="M44" s="2" t="n">
        <v>40.7670951997861</v>
      </c>
      <c r="N44" s="2" t="s">
        <v>26</v>
      </c>
      <c r="O44" s="2" t="n">
        <v>14.5</v>
      </c>
      <c r="P44" s="2" t="n">
        <v>1</v>
      </c>
      <c r="Q44" s="2" t="n">
        <v>1</v>
      </c>
      <c r="R44" s="2" t="n">
        <v>0.438191900029779</v>
      </c>
      <c r="S44" s="2" t="n">
        <v>310387</v>
      </c>
      <c r="T44" s="2" t="n">
        <v>1</v>
      </c>
      <c r="U44" s="2" t="s">
        <v>27</v>
      </c>
      <c r="V44" s="2" t="s">
        <v>28</v>
      </c>
      <c r="X44" s="2" t="s">
        <v>29</v>
      </c>
      <c r="Y44" s="2" t="n">
        <v>120.122861311538</v>
      </c>
      <c r="Z44" s="2" t="s">
        <v>30</v>
      </c>
    </row>
    <row r="45" customFormat="false" ht="15" hidden="false" customHeight="false" outlineLevel="0" collapsed="false">
      <c r="A45" s="2" t="n">
        <v>43</v>
      </c>
      <c r="B45" s="2" t="n">
        <v>0.5</v>
      </c>
      <c r="C45" s="2" t="n">
        <v>14.5</v>
      </c>
      <c r="D45" s="2" t="n">
        <v>40.7741157002747</v>
      </c>
      <c r="G45" s="2" t="n">
        <v>40.7673653000966</v>
      </c>
      <c r="H45" s="2" t="n">
        <v>40.7741157002747</v>
      </c>
      <c r="I45" s="2" t="n">
        <v>41.2581668002531</v>
      </c>
      <c r="J45" s="2" t="n">
        <v>41.2581668002531</v>
      </c>
      <c r="K45" s="2" t="n">
        <v>41.2663099998608</v>
      </c>
      <c r="M45" s="2" t="n">
        <v>41.5262414999306</v>
      </c>
      <c r="N45" s="2" t="s">
        <v>26</v>
      </c>
      <c r="O45" s="2" t="n">
        <v>-14.5</v>
      </c>
      <c r="P45" s="2" t="n">
        <v>0</v>
      </c>
      <c r="Q45" s="2" t="n">
        <v>0</v>
      </c>
      <c r="R45" s="2" t="n">
        <v>0.267060499638319</v>
      </c>
      <c r="S45" s="2" t="n">
        <v>310387</v>
      </c>
      <c r="T45" s="2" t="n">
        <v>1</v>
      </c>
      <c r="U45" s="2" t="s">
        <v>27</v>
      </c>
      <c r="V45" s="2" t="s">
        <v>28</v>
      </c>
      <c r="X45" s="2" t="s">
        <v>29</v>
      </c>
      <c r="Y45" s="2" t="n">
        <v>120.122861311538</v>
      </c>
      <c r="Z45" s="2" t="s">
        <v>30</v>
      </c>
    </row>
    <row r="46" customFormat="false" ht="15" hidden="false" customHeight="false" outlineLevel="0" collapsed="false">
      <c r="A46" s="2" t="n">
        <v>44</v>
      </c>
      <c r="B46" s="2" t="n">
        <v>0.5</v>
      </c>
      <c r="C46" s="2" t="n">
        <v>15</v>
      </c>
      <c r="D46" s="2" t="n">
        <v>41.5402875998989</v>
      </c>
      <c r="G46" s="2" t="n">
        <v>41.5265989005566</v>
      </c>
      <c r="H46" s="2" t="n">
        <v>41.5402875998989</v>
      </c>
      <c r="I46" s="2" t="n">
        <v>42.024154400453</v>
      </c>
      <c r="J46" s="2" t="n">
        <v>42.024154400453</v>
      </c>
      <c r="K46" s="2" t="n">
        <v>42.0327869998291</v>
      </c>
      <c r="L46" s="2" t="n">
        <v>42.3168115001172</v>
      </c>
      <c r="M46" s="2" t="n">
        <v>42.365493199788</v>
      </c>
      <c r="N46" s="2" t="s">
        <v>26</v>
      </c>
      <c r="O46" s="2" t="n">
        <v>15</v>
      </c>
      <c r="P46" s="2" t="n">
        <v>1</v>
      </c>
      <c r="Q46" s="2" t="n">
        <v>1</v>
      </c>
      <c r="R46" s="2" t="n">
        <v>0.328311099670827</v>
      </c>
      <c r="S46" s="2" t="n">
        <v>310387</v>
      </c>
      <c r="T46" s="2" t="n">
        <v>1</v>
      </c>
      <c r="U46" s="2" t="s">
        <v>27</v>
      </c>
      <c r="V46" s="2" t="s">
        <v>28</v>
      </c>
      <c r="X46" s="2" t="s">
        <v>29</v>
      </c>
      <c r="Y46" s="2" t="n">
        <v>120.122861311538</v>
      </c>
      <c r="Z46" s="2" t="s">
        <v>30</v>
      </c>
    </row>
    <row r="47" customFormat="false" ht="15" hidden="false" customHeight="false" outlineLevel="0" collapsed="false">
      <c r="A47" s="2" t="n">
        <v>45</v>
      </c>
      <c r="B47" s="2" t="n">
        <v>0.5</v>
      </c>
      <c r="C47" s="2" t="n">
        <v>15</v>
      </c>
      <c r="D47" s="2" t="n">
        <v>42.3748818999156</v>
      </c>
      <c r="G47" s="2" t="n">
        <v>42.3658702997491</v>
      </c>
      <c r="H47" s="2" t="n">
        <v>42.3748818999156</v>
      </c>
      <c r="I47" s="2" t="n">
        <v>42.8580104997382</v>
      </c>
      <c r="J47" s="2" t="n">
        <v>42.8580104997382</v>
      </c>
      <c r="K47" s="2" t="n">
        <v>42.867943899706</v>
      </c>
      <c r="L47" s="2" t="n">
        <v>43.1486128997058</v>
      </c>
      <c r="M47" s="2" t="n">
        <v>43.1490515004844</v>
      </c>
      <c r="N47" s="2" t="s">
        <v>26</v>
      </c>
      <c r="O47" s="2" t="n">
        <v>-15</v>
      </c>
      <c r="P47" s="2" t="n">
        <v>0</v>
      </c>
      <c r="Q47" s="2" t="n">
        <v>0</v>
      </c>
      <c r="R47" s="2" t="n">
        <v>0.283792600035667</v>
      </c>
      <c r="S47" s="2" t="n">
        <v>310387</v>
      </c>
      <c r="T47" s="2" t="n">
        <v>1</v>
      </c>
      <c r="U47" s="2" t="s">
        <v>27</v>
      </c>
      <c r="V47" s="2" t="s">
        <v>28</v>
      </c>
      <c r="X47" s="2" t="s">
        <v>29</v>
      </c>
      <c r="Y47" s="2" t="n">
        <v>120.122861311538</v>
      </c>
      <c r="Z47" s="2" t="s">
        <v>30</v>
      </c>
    </row>
    <row r="48" customFormat="false" ht="15" hidden="false" customHeight="false" outlineLevel="0" collapsed="false">
      <c r="A48" s="2" t="n">
        <v>46</v>
      </c>
      <c r="B48" s="2" t="n">
        <v>0.5</v>
      </c>
      <c r="C48" s="2" t="n">
        <v>15.5</v>
      </c>
      <c r="D48" s="2" t="n">
        <v>43.1578483004123</v>
      </c>
      <c r="G48" s="2" t="n">
        <v>43.1492824004963</v>
      </c>
      <c r="H48" s="2" t="n">
        <v>43.1578483004123</v>
      </c>
      <c r="I48" s="2" t="n">
        <v>43.6409852998331</v>
      </c>
      <c r="J48" s="2" t="n">
        <v>43.6409852998331</v>
      </c>
      <c r="K48" s="2" t="n">
        <v>43.6499405000359</v>
      </c>
      <c r="L48" s="2" t="n">
        <v>43.9335190001875</v>
      </c>
      <c r="M48" s="2" t="n">
        <v>43.96523969993</v>
      </c>
      <c r="N48" s="2" t="s">
        <v>26</v>
      </c>
      <c r="O48" s="2" t="n">
        <v>15.5</v>
      </c>
      <c r="P48" s="2" t="n">
        <v>1</v>
      </c>
      <c r="Q48" s="2" t="n">
        <v>1</v>
      </c>
      <c r="R48" s="2" t="n">
        <v>0.316880499944091</v>
      </c>
      <c r="S48" s="2" t="n">
        <v>310387</v>
      </c>
      <c r="T48" s="2" t="n">
        <v>1</v>
      </c>
      <c r="U48" s="2" t="s">
        <v>27</v>
      </c>
      <c r="V48" s="2" t="s">
        <v>28</v>
      </c>
      <c r="X48" s="2" t="s">
        <v>29</v>
      </c>
      <c r="Y48" s="2" t="n">
        <v>120.122861311538</v>
      </c>
      <c r="Z48" s="2" t="s">
        <v>30</v>
      </c>
    </row>
    <row r="49" customFormat="false" ht="15" hidden="false" customHeight="false" outlineLevel="0" collapsed="false">
      <c r="A49" s="2" t="n">
        <v>47</v>
      </c>
      <c r="B49" s="2" t="n">
        <v>0.5</v>
      </c>
      <c r="C49" s="2" t="n">
        <v>15.5</v>
      </c>
      <c r="D49" s="2" t="n">
        <v>43.9737931005657</v>
      </c>
      <c r="G49" s="2" t="n">
        <v>43.9654226005077</v>
      </c>
      <c r="H49" s="2" t="n">
        <v>43.9737931005657</v>
      </c>
      <c r="I49" s="2" t="n">
        <v>44.4579335004091</v>
      </c>
      <c r="J49" s="2" t="n">
        <v>44.4579335004091</v>
      </c>
      <c r="K49" s="2" t="n">
        <v>44.4660895997658</v>
      </c>
      <c r="L49" s="2" t="n">
        <v>44.7490635002032</v>
      </c>
      <c r="M49" s="2" t="n">
        <v>44.7582817999646</v>
      </c>
      <c r="N49" s="2" t="s">
        <v>26</v>
      </c>
      <c r="O49" s="2" t="n">
        <v>-15.5</v>
      </c>
      <c r="P49" s="2" t="n">
        <v>0</v>
      </c>
      <c r="Q49" s="2" t="n">
        <v>0</v>
      </c>
      <c r="R49" s="2" t="n">
        <v>0.296608700416982</v>
      </c>
      <c r="S49" s="2" t="n">
        <v>310387</v>
      </c>
      <c r="T49" s="2" t="n">
        <v>1</v>
      </c>
      <c r="U49" s="2" t="s">
        <v>27</v>
      </c>
      <c r="V49" s="2" t="s">
        <v>28</v>
      </c>
      <c r="X49" s="2" t="s">
        <v>29</v>
      </c>
      <c r="Y49" s="2" t="n">
        <v>120.122861311538</v>
      </c>
      <c r="Z49" s="2" t="s">
        <v>30</v>
      </c>
    </row>
    <row r="50" customFormat="false" ht="15" hidden="false" customHeight="false" outlineLevel="0" collapsed="false">
      <c r="A50" s="2" t="n">
        <v>48</v>
      </c>
      <c r="B50" s="2" t="n">
        <v>0.5</v>
      </c>
      <c r="C50" s="2" t="n">
        <v>16</v>
      </c>
      <c r="D50" s="2" t="n">
        <v>44.765503000468</v>
      </c>
      <c r="G50" s="2" t="n">
        <v>44.7585565997288</v>
      </c>
      <c r="H50" s="2" t="n">
        <v>44.765503000468</v>
      </c>
      <c r="I50" s="2" t="n">
        <v>45.2563997004181</v>
      </c>
      <c r="J50" s="2" t="n">
        <v>45.2563997004181</v>
      </c>
      <c r="K50" s="2" t="n">
        <v>45.2563997004181</v>
      </c>
      <c r="L50" s="2" t="n">
        <v>45.5491915000603</v>
      </c>
      <c r="M50" s="2" t="n">
        <v>45.6087113004178</v>
      </c>
      <c r="N50" s="2" t="s">
        <v>26</v>
      </c>
      <c r="O50" s="2" t="n">
        <v>-16</v>
      </c>
      <c r="P50" s="2" t="n">
        <v>0</v>
      </c>
      <c r="Q50" s="2" t="n">
        <v>0</v>
      </c>
      <c r="R50" s="2" t="n">
        <v>0.349069300107658</v>
      </c>
      <c r="S50" s="2" t="n">
        <v>310387</v>
      </c>
      <c r="T50" s="2" t="n">
        <v>1</v>
      </c>
      <c r="U50" s="2" t="s">
        <v>27</v>
      </c>
      <c r="V50" s="2" t="s">
        <v>28</v>
      </c>
      <c r="X50" s="2" t="s">
        <v>29</v>
      </c>
      <c r="Y50" s="2" t="n">
        <v>120.122861311538</v>
      </c>
      <c r="Z50" s="2" t="s">
        <v>30</v>
      </c>
    </row>
    <row r="51" customFormat="false" ht="15" hidden="false" customHeight="false" outlineLevel="0" collapsed="false">
      <c r="A51" s="2" t="n">
        <v>49</v>
      </c>
      <c r="B51" s="2" t="n">
        <v>0.5</v>
      </c>
      <c r="C51" s="2" t="n">
        <v>16.5</v>
      </c>
      <c r="D51" s="2" t="n">
        <v>45.6154225002974</v>
      </c>
      <c r="G51" s="2" t="n">
        <v>45.6090182000771</v>
      </c>
      <c r="H51" s="2" t="n">
        <v>45.6154225002974</v>
      </c>
      <c r="I51" s="2" t="n">
        <v>46.1072308998555</v>
      </c>
      <c r="J51" s="2" t="n">
        <v>46.1072308998555</v>
      </c>
      <c r="K51" s="2" t="n">
        <v>46.1072308998555</v>
      </c>
      <c r="L51" s="2" t="n">
        <v>46.3985911002383</v>
      </c>
      <c r="M51" s="2" t="n">
        <v>46.4583092005923</v>
      </c>
      <c r="N51" s="2" t="s">
        <v>26</v>
      </c>
      <c r="O51" s="2" t="n">
        <v>-16.5</v>
      </c>
      <c r="P51" s="2" t="n">
        <v>0</v>
      </c>
      <c r="Q51" s="2" t="n">
        <v>0</v>
      </c>
      <c r="R51" s="2" t="n">
        <v>0.346265600062907</v>
      </c>
      <c r="S51" s="2" t="n">
        <v>310387</v>
      </c>
      <c r="T51" s="2" t="n">
        <v>1</v>
      </c>
      <c r="U51" s="2" t="s">
        <v>27</v>
      </c>
      <c r="V51" s="2" t="s">
        <v>28</v>
      </c>
      <c r="X51" s="2" t="s">
        <v>29</v>
      </c>
      <c r="Y51" s="2" t="n">
        <v>120.122861311538</v>
      </c>
      <c r="Z51" s="2" t="s">
        <v>30</v>
      </c>
    </row>
    <row r="52" customFormat="false" ht="15" hidden="false" customHeight="false" outlineLevel="0" collapsed="false">
      <c r="A52" s="2" t="n">
        <v>50</v>
      </c>
      <c r="B52" s="2" t="n">
        <v>0.5</v>
      </c>
      <c r="C52" s="2" t="n">
        <v>17</v>
      </c>
      <c r="D52" s="2" t="n">
        <v>46.4655395001173</v>
      </c>
      <c r="G52" s="2" t="n">
        <v>46.4586030002683</v>
      </c>
      <c r="H52" s="2" t="n">
        <v>46.4655395001173</v>
      </c>
      <c r="I52" s="2" t="n">
        <v>46.9508116999641</v>
      </c>
      <c r="J52" s="2" t="n">
        <v>46.9508116999641</v>
      </c>
      <c r="K52" s="2" t="n">
        <v>46.9573157001287</v>
      </c>
      <c r="L52" s="2" t="n">
        <v>47.2492663003504</v>
      </c>
      <c r="M52" s="2" t="n">
        <v>47.4521855004132</v>
      </c>
      <c r="N52" s="2" t="s">
        <v>26</v>
      </c>
      <c r="O52" s="2" t="n">
        <v>17</v>
      </c>
      <c r="P52" s="2" t="n">
        <v>1</v>
      </c>
      <c r="Q52" s="2" t="n">
        <v>1</v>
      </c>
      <c r="R52" s="2" t="n">
        <v>0.498212299309671</v>
      </c>
      <c r="S52" s="2" t="n">
        <v>310387</v>
      </c>
      <c r="T52" s="2" t="n">
        <v>1</v>
      </c>
      <c r="U52" s="2" t="s">
        <v>27</v>
      </c>
      <c r="V52" s="2" t="s">
        <v>28</v>
      </c>
      <c r="X52" s="2" t="s">
        <v>29</v>
      </c>
      <c r="Y52" s="2" t="n">
        <v>120.122861311538</v>
      </c>
      <c r="Z52" s="2" t="s">
        <v>30</v>
      </c>
    </row>
    <row r="53" customFormat="false" ht="15" hidden="false" customHeight="false" outlineLevel="0" collapsed="false">
      <c r="A53" s="2" t="n">
        <v>51</v>
      </c>
      <c r="B53" s="2" t="n">
        <v>0.5</v>
      </c>
      <c r="C53" s="2" t="n">
        <v>17</v>
      </c>
      <c r="D53" s="2" t="n">
        <v>47.4641525996849</v>
      </c>
      <c r="G53" s="2" t="n">
        <v>47.4524181000888</v>
      </c>
      <c r="H53" s="2" t="n">
        <v>47.4641525996849</v>
      </c>
      <c r="I53" s="2" t="n">
        <v>47.949138100259</v>
      </c>
      <c r="J53" s="2" t="n">
        <v>47.949138100259</v>
      </c>
      <c r="K53" s="2" t="n">
        <v>47.9580882005394</v>
      </c>
      <c r="M53" s="2" t="n">
        <v>48.2244490999729</v>
      </c>
      <c r="N53" s="2" t="s">
        <v>26</v>
      </c>
      <c r="O53" s="2" t="n">
        <v>17</v>
      </c>
      <c r="P53" s="2" t="n">
        <v>0</v>
      </c>
      <c r="Q53" s="2" t="n">
        <v>0</v>
      </c>
      <c r="R53" s="2" t="n">
        <v>0.271351600065827</v>
      </c>
      <c r="S53" s="2" t="n">
        <v>310387</v>
      </c>
      <c r="T53" s="2" t="n">
        <v>1</v>
      </c>
      <c r="U53" s="2" t="s">
        <v>27</v>
      </c>
      <c r="V53" s="2" t="s">
        <v>28</v>
      </c>
      <c r="X53" s="2" t="s">
        <v>29</v>
      </c>
      <c r="Y53" s="2" t="n">
        <v>120.122861311538</v>
      </c>
      <c r="Z53" s="2" t="s">
        <v>30</v>
      </c>
    </row>
    <row r="54" customFormat="false" ht="15" hidden="false" customHeight="false" outlineLevel="0" collapsed="false">
      <c r="A54" s="2" t="n">
        <v>52</v>
      </c>
      <c r="B54" s="2" t="n">
        <v>0.5</v>
      </c>
      <c r="C54" s="2" t="n">
        <v>17.5</v>
      </c>
      <c r="D54" s="2" t="n">
        <v>48.2316028000787</v>
      </c>
      <c r="G54" s="2" t="n">
        <v>48.224700300023</v>
      </c>
      <c r="H54" s="2" t="n">
        <v>48.2316028000787</v>
      </c>
      <c r="I54" s="2" t="n">
        <v>48.7154176002368</v>
      </c>
      <c r="J54" s="2" t="n">
        <v>48.7154176002368</v>
      </c>
      <c r="K54" s="2" t="n">
        <v>48.7242908002809</v>
      </c>
      <c r="L54" s="2" t="n">
        <v>49.006734999828</v>
      </c>
      <c r="M54" s="2" t="n">
        <v>49.1641517998651</v>
      </c>
      <c r="N54" s="2" t="s">
        <v>26</v>
      </c>
      <c r="O54" s="2" t="n">
        <v>17.5</v>
      </c>
      <c r="P54" s="2" t="n">
        <v>1</v>
      </c>
      <c r="Q54" s="2" t="n">
        <v>1</v>
      </c>
      <c r="R54" s="2" t="n">
        <v>0.442035700194538</v>
      </c>
      <c r="S54" s="2" t="n">
        <v>310387</v>
      </c>
      <c r="T54" s="2" t="n">
        <v>1</v>
      </c>
      <c r="U54" s="2" t="s">
        <v>27</v>
      </c>
      <c r="V54" s="2" t="s">
        <v>28</v>
      </c>
      <c r="X54" s="2" t="s">
        <v>29</v>
      </c>
      <c r="Y54" s="2" t="n">
        <v>120.122861311538</v>
      </c>
      <c r="Z54" s="2" t="s">
        <v>30</v>
      </c>
    </row>
    <row r="55" customFormat="false" ht="15" hidden="false" customHeight="false" outlineLevel="0" collapsed="false">
      <c r="A55" s="2" t="n">
        <v>53</v>
      </c>
      <c r="B55" s="2" t="n">
        <v>0.5</v>
      </c>
      <c r="C55" s="2" t="n">
        <v>17.5</v>
      </c>
      <c r="D55" s="2" t="n">
        <v>49.1730420999229</v>
      </c>
      <c r="G55" s="2" t="n">
        <v>49.1643845997751</v>
      </c>
      <c r="H55" s="2" t="n">
        <v>49.1730420999229</v>
      </c>
      <c r="I55" s="2" t="n">
        <v>49.657153500244</v>
      </c>
      <c r="J55" s="2" t="n">
        <v>49.657153500244</v>
      </c>
      <c r="K55" s="2" t="n">
        <v>49.665627900511</v>
      </c>
      <c r="L55" s="2" t="n">
        <v>49.9490061001852</v>
      </c>
      <c r="M55" s="2" t="n">
        <v>50.0318566001952</v>
      </c>
      <c r="N55" s="2" t="s">
        <v>26</v>
      </c>
      <c r="O55" s="2" t="n">
        <v>-17.5</v>
      </c>
      <c r="P55" s="2" t="n">
        <v>0</v>
      </c>
      <c r="Q55" s="2" t="n">
        <v>0</v>
      </c>
      <c r="R55" s="2" t="n">
        <v>0.369439899921417</v>
      </c>
      <c r="S55" s="2" t="n">
        <v>310387</v>
      </c>
      <c r="T55" s="2" t="n">
        <v>1</v>
      </c>
      <c r="U55" s="2" t="s">
        <v>27</v>
      </c>
      <c r="V55" s="2" t="s">
        <v>28</v>
      </c>
      <c r="X55" s="2" t="s">
        <v>29</v>
      </c>
      <c r="Y55" s="2" t="n">
        <v>120.122861311538</v>
      </c>
      <c r="Z55" s="2" t="s">
        <v>30</v>
      </c>
    </row>
    <row r="56" customFormat="false" ht="15" hidden="false" customHeight="false" outlineLevel="0" collapsed="false">
      <c r="A56" s="2" t="n">
        <v>54</v>
      </c>
      <c r="B56" s="2" t="n">
        <v>0.5</v>
      </c>
      <c r="C56" s="2" t="n">
        <v>18</v>
      </c>
      <c r="D56" s="2" t="n">
        <v>50.0400660997257</v>
      </c>
      <c r="G56" s="2" t="n">
        <v>50.0320766000077</v>
      </c>
      <c r="H56" s="2" t="n">
        <v>50.0400660997257</v>
      </c>
      <c r="I56" s="2" t="n">
        <v>50.5240817004815</v>
      </c>
      <c r="J56" s="2" t="n">
        <v>50.5240817004815</v>
      </c>
      <c r="K56" s="2" t="n">
        <v>50.5331498999149</v>
      </c>
      <c r="L56" s="2" t="n">
        <v>50.8166918996722</v>
      </c>
      <c r="M56" s="2" t="n">
        <v>50.8283387999982</v>
      </c>
      <c r="N56" s="2" t="s">
        <v>26</v>
      </c>
      <c r="O56" s="2" t="n">
        <v>18</v>
      </c>
      <c r="P56" s="2" t="n">
        <v>1</v>
      </c>
      <c r="Q56" s="2" t="n">
        <v>1</v>
      </c>
      <c r="R56" s="2" t="n">
        <v>0.300573100335896</v>
      </c>
      <c r="S56" s="2" t="n">
        <v>310387</v>
      </c>
      <c r="T56" s="2" t="n">
        <v>1</v>
      </c>
      <c r="U56" s="2" t="s">
        <v>27</v>
      </c>
      <c r="V56" s="2" t="s">
        <v>28</v>
      </c>
      <c r="X56" s="2" t="s">
        <v>29</v>
      </c>
      <c r="Y56" s="2" t="n">
        <v>120.122861311538</v>
      </c>
      <c r="Z56" s="2" t="s">
        <v>30</v>
      </c>
    </row>
    <row r="57" customFormat="false" ht="15" hidden="false" customHeight="false" outlineLevel="0" collapsed="false">
      <c r="A57" s="2" t="n">
        <v>55</v>
      </c>
      <c r="B57" s="2" t="n">
        <v>0.5</v>
      </c>
      <c r="C57" s="2" t="n">
        <v>18</v>
      </c>
      <c r="D57" s="2" t="n">
        <v>50.8397436998785</v>
      </c>
      <c r="G57" s="2" t="n">
        <v>50.8286084998399</v>
      </c>
      <c r="H57" s="2" t="n">
        <v>50.8397436998785</v>
      </c>
      <c r="I57" s="2" t="n">
        <v>51.3243215996772</v>
      </c>
      <c r="J57" s="2" t="n">
        <v>51.3243215996772</v>
      </c>
      <c r="K57" s="2" t="n">
        <v>51.3329105004668</v>
      </c>
      <c r="L57" s="2" t="n">
        <v>51.6161464005709</v>
      </c>
      <c r="M57" s="2" t="n">
        <v>51.7159243002534</v>
      </c>
      <c r="N57" s="2" t="s">
        <v>26</v>
      </c>
      <c r="O57" s="2" t="n">
        <v>18</v>
      </c>
      <c r="P57" s="2" t="n">
        <v>1</v>
      </c>
      <c r="Q57" s="2" t="n">
        <v>1</v>
      </c>
      <c r="R57" s="2" t="n">
        <v>0.386576400138438</v>
      </c>
      <c r="S57" s="2" t="n">
        <v>310387</v>
      </c>
      <c r="T57" s="2" t="n">
        <v>1</v>
      </c>
      <c r="U57" s="2" t="s">
        <v>27</v>
      </c>
      <c r="V57" s="2" t="s">
        <v>28</v>
      </c>
      <c r="X57" s="2" t="s">
        <v>29</v>
      </c>
      <c r="Y57" s="2" t="n">
        <v>120.122861311538</v>
      </c>
      <c r="Z57" s="2" t="s">
        <v>30</v>
      </c>
    </row>
    <row r="58" customFormat="false" ht="15" hidden="false" customHeight="false" outlineLevel="0" collapsed="false">
      <c r="A58" s="2" t="n">
        <v>56</v>
      </c>
      <c r="B58" s="2" t="n">
        <v>0.5</v>
      </c>
      <c r="C58" s="2" t="n">
        <v>18</v>
      </c>
      <c r="D58" s="2" t="n">
        <v>51.7240065997466</v>
      </c>
      <c r="G58" s="2" t="n">
        <v>51.7161702997983</v>
      </c>
      <c r="H58" s="2" t="n">
        <v>51.7240065997466</v>
      </c>
      <c r="I58" s="2" t="n">
        <v>52.2070987997577</v>
      </c>
      <c r="J58" s="2" t="n">
        <v>52.2070987997577</v>
      </c>
      <c r="K58" s="2" t="n">
        <v>52.2163872001693</v>
      </c>
      <c r="L58" s="2" t="n">
        <v>52.4996367003769</v>
      </c>
      <c r="M58" s="2" t="n">
        <v>52.5506239999086</v>
      </c>
      <c r="N58" s="2" t="s">
        <v>26</v>
      </c>
      <c r="O58" s="2" t="n">
        <v>-18</v>
      </c>
      <c r="P58" s="2" t="n">
        <v>0</v>
      </c>
      <c r="Q58" s="2" t="n">
        <v>0</v>
      </c>
      <c r="R58" s="2" t="n">
        <v>0.340411500073969</v>
      </c>
      <c r="S58" s="2" t="n">
        <v>310387</v>
      </c>
      <c r="T58" s="2" t="n">
        <v>1</v>
      </c>
      <c r="U58" s="2" t="s">
        <v>27</v>
      </c>
      <c r="V58" s="2" t="s">
        <v>28</v>
      </c>
      <c r="X58" s="2" t="s">
        <v>29</v>
      </c>
      <c r="Y58" s="2" t="n">
        <v>120.122861311538</v>
      </c>
      <c r="Z58" s="2" t="s">
        <v>30</v>
      </c>
    </row>
    <row r="59" customFormat="false" ht="15" hidden="false" customHeight="false" outlineLevel="0" collapsed="false">
      <c r="A59" s="2" t="n">
        <v>57</v>
      </c>
      <c r="B59" s="2" t="n">
        <v>0.5</v>
      </c>
      <c r="C59" s="2" t="n">
        <v>18.5</v>
      </c>
      <c r="D59" s="2" t="n">
        <v>52.5571630001068</v>
      </c>
      <c r="G59" s="2" t="n">
        <v>52.5509592005983</v>
      </c>
      <c r="H59" s="2" t="n">
        <v>52.5571630001068</v>
      </c>
      <c r="I59" s="2" t="n">
        <v>53.0488258004189</v>
      </c>
      <c r="J59" s="2" t="n">
        <v>53.0488258004189</v>
      </c>
      <c r="K59" s="2" t="n">
        <v>53.0488258004189</v>
      </c>
      <c r="L59" s="2" t="n">
        <v>53.3483523000032</v>
      </c>
      <c r="M59" s="2" t="n">
        <v>53.4418224999681</v>
      </c>
      <c r="N59" s="2" t="s">
        <v>26</v>
      </c>
      <c r="O59" s="2" t="n">
        <v>-18.5</v>
      </c>
      <c r="P59" s="2" t="n">
        <v>0</v>
      </c>
      <c r="Q59" s="2" t="n">
        <v>0</v>
      </c>
      <c r="R59" s="2" t="n">
        <v>0.392149499617517</v>
      </c>
      <c r="S59" s="2" t="n">
        <v>310387</v>
      </c>
      <c r="T59" s="2" t="n">
        <v>1</v>
      </c>
      <c r="U59" s="2" t="s">
        <v>27</v>
      </c>
      <c r="V59" s="2" t="s">
        <v>28</v>
      </c>
      <c r="X59" s="2" t="s">
        <v>29</v>
      </c>
      <c r="Y59" s="2" t="n">
        <v>120.122861311538</v>
      </c>
      <c r="Z59" s="2" t="s">
        <v>30</v>
      </c>
    </row>
    <row r="60" customFormat="false" ht="15" hidden="false" customHeight="false" outlineLevel="0" collapsed="false">
      <c r="A60" s="2" t="n">
        <v>58</v>
      </c>
      <c r="B60" s="2" t="n">
        <v>0.5</v>
      </c>
      <c r="C60" s="2" t="n">
        <v>19</v>
      </c>
      <c r="D60" s="2" t="n">
        <v>53.4495492000133</v>
      </c>
      <c r="G60" s="2" t="n">
        <v>53.4420884000138</v>
      </c>
      <c r="H60" s="2" t="n">
        <v>53.4495492000133</v>
      </c>
      <c r="I60" s="2" t="n">
        <v>53.9320704005659</v>
      </c>
      <c r="J60" s="2" t="n">
        <v>53.9320704005659</v>
      </c>
      <c r="K60" s="2" t="n">
        <v>53.9408355997875</v>
      </c>
      <c r="L60" s="2" t="n">
        <v>54.224759100005</v>
      </c>
      <c r="M60" s="2" t="n">
        <v>54.3081392999739</v>
      </c>
      <c r="N60" s="2" t="s">
        <v>26</v>
      </c>
      <c r="O60" s="2" t="n">
        <v>-19</v>
      </c>
      <c r="P60" s="2" t="n">
        <v>0</v>
      </c>
      <c r="Q60" s="2" t="n">
        <v>0</v>
      </c>
      <c r="R60" s="2" t="n">
        <v>0.36951950006187</v>
      </c>
      <c r="S60" s="2" t="n">
        <v>310387</v>
      </c>
      <c r="T60" s="2" t="n">
        <v>1</v>
      </c>
      <c r="U60" s="2" t="s">
        <v>27</v>
      </c>
      <c r="V60" s="2" t="s">
        <v>28</v>
      </c>
      <c r="X60" s="2" t="s">
        <v>29</v>
      </c>
      <c r="Y60" s="2" t="n">
        <v>120.122861311538</v>
      </c>
      <c r="Z60" s="2" t="s">
        <v>30</v>
      </c>
    </row>
    <row r="61" customFormat="false" ht="15" hidden="false" customHeight="false" outlineLevel="0" collapsed="false">
      <c r="A61" s="2" t="n">
        <v>59</v>
      </c>
      <c r="B61" s="2" t="n">
        <v>0.5</v>
      </c>
      <c r="C61" s="2" t="n">
        <v>19.5</v>
      </c>
      <c r="D61" s="2" t="n">
        <v>54.3157689999789</v>
      </c>
      <c r="G61" s="2" t="n">
        <v>54.3084211004898</v>
      </c>
      <c r="H61" s="2" t="n">
        <v>54.3157689999789</v>
      </c>
      <c r="I61" s="2" t="n">
        <v>54.7992954002693</v>
      </c>
      <c r="J61" s="2" t="n">
        <v>54.7992954002693</v>
      </c>
      <c r="K61" s="2" t="n">
        <v>54.8072095001116</v>
      </c>
      <c r="L61" s="2" t="n">
        <v>55.0915393000469</v>
      </c>
      <c r="M61" s="2" t="n">
        <v>55.1411506999284</v>
      </c>
      <c r="N61" s="2" t="s">
        <v>26</v>
      </c>
      <c r="O61" s="2" t="n">
        <v>19.5</v>
      </c>
      <c r="P61" s="2" t="n">
        <v>0</v>
      </c>
      <c r="Q61" s="2" t="n">
        <v>0</v>
      </c>
      <c r="R61" s="2" t="n">
        <v>0.338182100094855</v>
      </c>
      <c r="S61" s="2" t="n">
        <v>310387</v>
      </c>
      <c r="T61" s="2" t="n">
        <v>1</v>
      </c>
      <c r="U61" s="2" t="s">
        <v>27</v>
      </c>
      <c r="V61" s="2" t="s">
        <v>28</v>
      </c>
      <c r="X61" s="2" t="s">
        <v>29</v>
      </c>
      <c r="Y61" s="2" t="n">
        <v>120.122861311538</v>
      </c>
      <c r="Z61" s="2" t="s">
        <v>30</v>
      </c>
    </row>
    <row r="62" customFormat="false" ht="15" hidden="false" customHeight="false" outlineLevel="0" collapsed="false">
      <c r="A62" s="2" t="n">
        <v>60</v>
      </c>
      <c r="B62" s="2" t="n">
        <v>0.5</v>
      </c>
      <c r="C62" s="2" t="n">
        <v>20</v>
      </c>
      <c r="D62" s="2" t="n">
        <v>55.1488861003891</v>
      </c>
      <c r="G62" s="2" t="n">
        <v>55.1414131000638</v>
      </c>
      <c r="H62" s="2" t="n">
        <v>55.1488861003891</v>
      </c>
      <c r="I62" s="2" t="n">
        <v>55.6330548003316</v>
      </c>
      <c r="J62" s="2" t="n">
        <v>55.6330548003316</v>
      </c>
      <c r="K62" s="2" t="n">
        <v>55.6405400000513</v>
      </c>
      <c r="L62" s="2" t="n">
        <v>55.9247241998091</v>
      </c>
      <c r="M62" s="2" t="n">
        <v>56.1156325004995</v>
      </c>
      <c r="N62" s="2" t="s">
        <v>26</v>
      </c>
      <c r="O62" s="2" t="n">
        <v>20</v>
      </c>
      <c r="P62" s="2" t="n">
        <v>1</v>
      </c>
      <c r="Q62" s="2" t="n">
        <v>1</v>
      </c>
      <c r="R62" s="2" t="n">
        <v>0.477965199388564</v>
      </c>
      <c r="S62" s="2" t="n">
        <v>310387</v>
      </c>
      <c r="T62" s="2" t="n">
        <v>1</v>
      </c>
      <c r="U62" s="2" t="s">
        <v>27</v>
      </c>
      <c r="V62" s="2" t="s">
        <v>28</v>
      </c>
      <c r="X62" s="2" t="s">
        <v>29</v>
      </c>
      <c r="Y62" s="2" t="n">
        <v>120.122861311538</v>
      </c>
      <c r="Z62" s="2" t="s">
        <v>30</v>
      </c>
    </row>
    <row r="63" customFormat="false" ht="15" hidden="false" customHeight="false" outlineLevel="0" collapsed="false">
      <c r="A63" s="2" t="n">
        <v>61</v>
      </c>
      <c r="B63" s="2" t="n">
        <v>0.5</v>
      </c>
      <c r="C63" s="2" t="n">
        <v>20</v>
      </c>
      <c r="D63" s="2" t="n">
        <v>56.1237049996853</v>
      </c>
      <c r="G63" s="2" t="n">
        <v>56.1159089002758</v>
      </c>
      <c r="H63" s="2" t="n">
        <v>56.1237049996853</v>
      </c>
      <c r="I63" s="2" t="n">
        <v>56.6072626998648</v>
      </c>
      <c r="J63" s="2" t="n">
        <v>56.6072626998648</v>
      </c>
      <c r="K63" s="2" t="n">
        <v>56.6159198004752</v>
      </c>
      <c r="L63" s="2" t="n">
        <v>56.8992785997689</v>
      </c>
      <c r="M63" s="2" t="n">
        <v>56.9491694001481</v>
      </c>
      <c r="N63" s="2" t="s">
        <v>26</v>
      </c>
      <c r="O63" s="2" t="n">
        <v>20</v>
      </c>
      <c r="P63" s="2" t="n">
        <v>1</v>
      </c>
      <c r="Q63" s="2" t="n">
        <v>1</v>
      </c>
      <c r="R63" s="2" t="n">
        <v>0.338140099309385</v>
      </c>
      <c r="S63" s="2" t="n">
        <v>310387</v>
      </c>
      <c r="T63" s="2" t="n">
        <v>1</v>
      </c>
      <c r="U63" s="2" t="s">
        <v>27</v>
      </c>
      <c r="V63" s="2" t="s">
        <v>28</v>
      </c>
      <c r="X63" s="2" t="s">
        <v>29</v>
      </c>
      <c r="Y63" s="2" t="n">
        <v>120.122861311538</v>
      </c>
      <c r="Z63" s="2" t="s">
        <v>30</v>
      </c>
    </row>
    <row r="64" customFormat="false" ht="15" hidden="false" customHeight="false" outlineLevel="0" collapsed="false">
      <c r="A64" s="2" t="n">
        <v>62</v>
      </c>
      <c r="B64" s="2" t="n">
        <v>0.5</v>
      </c>
      <c r="C64" s="2" t="n">
        <v>20</v>
      </c>
      <c r="D64" s="2" t="n">
        <v>56.9566898997873</v>
      </c>
      <c r="G64" s="2" t="n">
        <v>56.9494129000232</v>
      </c>
      <c r="H64" s="2" t="n">
        <v>56.9566898997873</v>
      </c>
      <c r="I64" s="2" t="n">
        <v>57.4411973999813</v>
      </c>
      <c r="J64" s="2" t="n">
        <v>57.4411973999813</v>
      </c>
      <c r="K64" s="2" t="n">
        <v>57.4492635000497</v>
      </c>
      <c r="L64" s="2" t="n">
        <v>57.7323849005625</v>
      </c>
      <c r="M64" s="2" t="n">
        <v>57.8430356997997</v>
      </c>
      <c r="N64" s="2" t="s">
        <v>26</v>
      </c>
      <c r="O64" s="2" t="n">
        <v>-20</v>
      </c>
      <c r="P64" s="2" t="n">
        <v>0</v>
      </c>
      <c r="Q64" s="2" t="n">
        <v>0</v>
      </c>
      <c r="R64" s="2" t="n">
        <v>0.400405999273062</v>
      </c>
      <c r="S64" s="2" t="n">
        <v>310387</v>
      </c>
      <c r="T64" s="2" t="n">
        <v>1</v>
      </c>
      <c r="U64" s="2" t="s">
        <v>27</v>
      </c>
      <c r="V64" s="2" t="s">
        <v>28</v>
      </c>
      <c r="X64" s="2" t="s">
        <v>29</v>
      </c>
      <c r="Y64" s="2" t="n">
        <v>120.122861311538</v>
      </c>
      <c r="Z64" s="2" t="s">
        <v>30</v>
      </c>
    </row>
    <row r="65" customFormat="false" ht="15" hidden="false" customHeight="false" outlineLevel="0" collapsed="false">
      <c r="A65" s="2" t="n">
        <v>63</v>
      </c>
      <c r="B65" s="2" t="n">
        <v>0.5</v>
      </c>
      <c r="C65" s="2" t="n">
        <v>20</v>
      </c>
      <c r="D65" s="2" t="n">
        <v>57.8480388997123</v>
      </c>
      <c r="G65" s="2" t="n">
        <v>57.8432860001922</v>
      </c>
      <c r="H65" s="2" t="n">
        <v>57.8480388997123</v>
      </c>
      <c r="I65" s="2" t="n">
        <v>58.3406191002578</v>
      </c>
      <c r="J65" s="2" t="n">
        <v>58.3406191002578</v>
      </c>
      <c r="K65" s="2" t="n">
        <v>58.3406191002578</v>
      </c>
      <c r="L65" s="2" t="n">
        <v>58.6329952003434</v>
      </c>
      <c r="M65" s="2" t="n">
        <v>58.7250899998471</v>
      </c>
      <c r="N65" s="2" t="s">
        <v>26</v>
      </c>
      <c r="O65" s="2" t="n">
        <v>-20</v>
      </c>
      <c r="P65" s="2" t="n">
        <v>0</v>
      </c>
      <c r="Q65" s="2" t="n">
        <v>0</v>
      </c>
      <c r="R65" s="2" t="n">
        <v>0.378831000067294</v>
      </c>
      <c r="S65" s="2" t="n">
        <v>310387</v>
      </c>
      <c r="T65" s="2" t="n">
        <v>1</v>
      </c>
      <c r="U65" s="2" t="s">
        <v>27</v>
      </c>
      <c r="V65" s="2" t="s">
        <v>28</v>
      </c>
      <c r="X65" s="2" t="s">
        <v>29</v>
      </c>
      <c r="Y65" s="2" t="n">
        <v>120.122861311538</v>
      </c>
      <c r="Z65" s="2" t="s">
        <v>30</v>
      </c>
    </row>
    <row r="66" customFormat="false" ht="15" hidden="false" customHeight="false" outlineLevel="0" collapsed="false">
      <c r="A66" s="2" t="n">
        <v>64</v>
      </c>
      <c r="B66" s="2" t="n">
        <v>0.5</v>
      </c>
      <c r="C66" s="2" t="n">
        <v>20</v>
      </c>
      <c r="D66" s="2" t="n">
        <v>58.7316199000925</v>
      </c>
      <c r="G66" s="2" t="n">
        <v>58.7253398001194</v>
      </c>
      <c r="H66" s="2" t="n">
        <v>58.7316199000925</v>
      </c>
      <c r="I66" s="2" t="n">
        <v>59.2163962004706</v>
      </c>
      <c r="J66" s="2" t="n">
        <v>59.2163962004706</v>
      </c>
      <c r="K66" s="2" t="n">
        <v>59.2243777997792</v>
      </c>
      <c r="L66" s="2" t="n">
        <v>59.5076609002426</v>
      </c>
      <c r="M66" s="2" t="n">
        <v>59.5503240004182</v>
      </c>
      <c r="N66" s="2" t="s">
        <v>26</v>
      </c>
      <c r="O66" s="2" t="n">
        <v>20</v>
      </c>
      <c r="P66" s="2" t="n">
        <v>1</v>
      </c>
      <c r="Q66" s="2" t="n">
        <v>1</v>
      </c>
      <c r="R66" s="2" t="n">
        <v>0.330616599880159</v>
      </c>
      <c r="S66" s="2" t="n">
        <v>310387</v>
      </c>
      <c r="T66" s="2" t="n">
        <v>1</v>
      </c>
      <c r="U66" s="2" t="s">
        <v>27</v>
      </c>
      <c r="V66" s="2" t="s">
        <v>28</v>
      </c>
      <c r="X66" s="2" t="s">
        <v>29</v>
      </c>
      <c r="Y66" s="2" t="n">
        <v>120.122861311538</v>
      </c>
      <c r="Z66" s="2" t="s">
        <v>30</v>
      </c>
    </row>
    <row r="67" customFormat="false" ht="15" hidden="false" customHeight="false" outlineLevel="0" collapsed="false">
      <c r="A67" s="2" t="n">
        <v>65</v>
      </c>
      <c r="B67" s="2" t="n">
        <v>0.5</v>
      </c>
      <c r="C67" s="2" t="n">
        <v>20</v>
      </c>
      <c r="D67" s="2" t="n">
        <v>59.5567583004013</v>
      </c>
      <c r="G67" s="2" t="n">
        <v>59.5505731003359</v>
      </c>
      <c r="H67" s="2" t="n">
        <v>59.5567583004013</v>
      </c>
      <c r="I67" s="2" t="n">
        <v>60.0403950000182</v>
      </c>
      <c r="J67" s="2" t="n">
        <v>60.0403950000182</v>
      </c>
      <c r="K67" s="2" t="n">
        <v>60.0498705003411</v>
      </c>
      <c r="L67" s="2" t="n">
        <v>60.3329279003665</v>
      </c>
      <c r="M67" s="2" t="n">
        <v>60.4098276998848</v>
      </c>
      <c r="N67" s="2" t="s">
        <v>26</v>
      </c>
      <c r="O67" s="2" t="n">
        <v>20</v>
      </c>
      <c r="P67" s="2" t="n">
        <v>1</v>
      </c>
      <c r="Q67" s="2" t="n">
        <v>1</v>
      </c>
      <c r="R67" s="2" t="n">
        <v>0.366954699158669</v>
      </c>
      <c r="S67" s="2" t="n">
        <v>310387</v>
      </c>
      <c r="T67" s="2" t="n">
        <v>1</v>
      </c>
      <c r="U67" s="2" t="s">
        <v>27</v>
      </c>
      <c r="V67" s="2" t="s">
        <v>28</v>
      </c>
      <c r="X67" s="2" t="s">
        <v>29</v>
      </c>
      <c r="Y67" s="2" t="n">
        <v>120.122861311538</v>
      </c>
      <c r="Z67" s="2" t="s">
        <v>30</v>
      </c>
    </row>
    <row r="68" customFormat="false" ht="15" hidden="false" customHeight="false" outlineLevel="0" collapsed="false">
      <c r="A68" s="2" t="n">
        <v>66</v>
      </c>
      <c r="B68" s="2" t="n">
        <v>0.5</v>
      </c>
      <c r="C68" s="2" t="n">
        <v>20</v>
      </c>
      <c r="D68" s="2" t="n">
        <v>60.4230032004416</v>
      </c>
      <c r="G68" s="2" t="n">
        <v>60.4100828999654</v>
      </c>
      <c r="H68" s="2" t="n">
        <v>60.4230032004416</v>
      </c>
      <c r="I68" s="2" t="n">
        <v>60.9071096004918</v>
      </c>
      <c r="J68" s="2" t="n">
        <v>60.9071096004918</v>
      </c>
      <c r="K68" s="2" t="n">
        <v>60.9159789001569</v>
      </c>
      <c r="L68" s="2" t="n">
        <v>61.1987795000896</v>
      </c>
      <c r="M68" s="2" t="n">
        <v>61.2753308005631</v>
      </c>
      <c r="N68" s="2" t="s">
        <v>26</v>
      </c>
      <c r="O68" s="2" t="n">
        <v>20</v>
      </c>
      <c r="P68" s="2" t="n">
        <v>1</v>
      </c>
      <c r="Q68" s="2" t="n">
        <v>1</v>
      </c>
      <c r="R68" s="2" t="n">
        <v>0.360174000263214</v>
      </c>
      <c r="S68" s="2" t="n">
        <v>310387</v>
      </c>
      <c r="T68" s="2" t="n">
        <v>1</v>
      </c>
      <c r="U68" s="2" t="s">
        <v>27</v>
      </c>
      <c r="V68" s="2" t="s">
        <v>28</v>
      </c>
      <c r="X68" s="2" t="s">
        <v>29</v>
      </c>
      <c r="Y68" s="2" t="n">
        <v>120.122861311538</v>
      </c>
      <c r="Z68" s="2" t="s">
        <v>30</v>
      </c>
    </row>
    <row r="69" customFormat="false" ht="15" hidden="false" customHeight="false" outlineLevel="0" collapsed="false">
      <c r="A69" s="2" t="n">
        <v>67</v>
      </c>
      <c r="B69" s="2" t="n">
        <v>0.5</v>
      </c>
      <c r="C69" s="2" t="n">
        <v>19.5</v>
      </c>
      <c r="D69" s="2" t="n">
        <v>61.2821497004479</v>
      </c>
      <c r="G69" s="2" t="n">
        <v>61.2756104003638</v>
      </c>
      <c r="H69" s="2" t="n">
        <v>61.2821497004479</v>
      </c>
      <c r="I69" s="2" t="n">
        <v>61.7743295002729</v>
      </c>
      <c r="J69" s="2" t="n">
        <v>61.7743295002729</v>
      </c>
      <c r="K69" s="2" t="n">
        <v>61.7743295002729</v>
      </c>
      <c r="L69" s="2" t="n">
        <v>62.0663740998134</v>
      </c>
      <c r="M69" s="2" t="n">
        <v>62.1523090004921</v>
      </c>
      <c r="N69" s="2" t="s">
        <v>26</v>
      </c>
      <c r="O69" s="2" t="n">
        <v>19.5</v>
      </c>
      <c r="P69" s="2" t="n">
        <v>1</v>
      </c>
      <c r="Q69" s="2" t="n">
        <v>1</v>
      </c>
      <c r="R69" s="2" t="n">
        <v>0.375715699978173</v>
      </c>
      <c r="S69" s="2" t="n">
        <v>310387</v>
      </c>
      <c r="T69" s="2" t="n">
        <v>1</v>
      </c>
      <c r="U69" s="2" t="s">
        <v>27</v>
      </c>
      <c r="V69" s="2" t="s">
        <v>28</v>
      </c>
      <c r="X69" s="2" t="s">
        <v>29</v>
      </c>
      <c r="Y69" s="2" t="n">
        <v>120.122861311538</v>
      </c>
      <c r="Z69" s="2" t="s">
        <v>30</v>
      </c>
    </row>
    <row r="70" customFormat="false" ht="15" hidden="false" customHeight="false" outlineLevel="0" collapsed="false">
      <c r="A70" s="2" t="n">
        <v>68</v>
      </c>
      <c r="B70" s="2" t="n">
        <v>0.5</v>
      </c>
      <c r="C70" s="2" t="n">
        <v>19.5</v>
      </c>
      <c r="D70" s="2" t="n">
        <v>62.1641482003033</v>
      </c>
      <c r="G70" s="2" t="n">
        <v>62.1525263004005</v>
      </c>
      <c r="H70" s="2" t="n">
        <v>62.1641482003033</v>
      </c>
      <c r="I70" s="2" t="n">
        <v>62.6491171997041</v>
      </c>
      <c r="J70" s="2" t="n">
        <v>62.6491171997041</v>
      </c>
      <c r="K70" s="2" t="n">
        <v>62.6573943998665</v>
      </c>
      <c r="L70" s="2" t="n">
        <v>62.9401929005981</v>
      </c>
      <c r="M70" s="2" t="n">
        <v>62.9573629004881</v>
      </c>
      <c r="N70" s="2" t="s">
        <v>26</v>
      </c>
      <c r="O70" s="2" t="n">
        <v>19.5</v>
      </c>
      <c r="P70" s="2" t="n">
        <v>1</v>
      </c>
      <c r="Q70" s="2" t="n">
        <v>1</v>
      </c>
      <c r="R70" s="2" t="n">
        <v>0.302841399796307</v>
      </c>
      <c r="S70" s="2" t="n">
        <v>310387</v>
      </c>
      <c r="T70" s="2" t="n">
        <v>1</v>
      </c>
      <c r="U70" s="2" t="s">
        <v>27</v>
      </c>
      <c r="V70" s="2" t="s">
        <v>28</v>
      </c>
      <c r="X70" s="2" t="s">
        <v>29</v>
      </c>
      <c r="Y70" s="2" t="n">
        <v>120.122861311538</v>
      </c>
      <c r="Z70" s="2" t="s">
        <v>30</v>
      </c>
    </row>
    <row r="71" customFormat="false" ht="15" hidden="false" customHeight="false" outlineLevel="0" collapsed="false">
      <c r="A71" s="2" t="n">
        <v>69</v>
      </c>
      <c r="B71" s="2" t="n">
        <v>0.5</v>
      </c>
      <c r="C71" s="2" t="n">
        <v>19.5</v>
      </c>
      <c r="D71" s="2" t="n">
        <v>62.9649648005143</v>
      </c>
      <c r="G71" s="2" t="n">
        <v>62.957595099695</v>
      </c>
      <c r="H71" s="2" t="n">
        <v>62.9649648005143</v>
      </c>
      <c r="I71" s="2" t="n">
        <v>63.4488583998755</v>
      </c>
      <c r="J71" s="2" t="n">
        <v>63.4488583998755</v>
      </c>
      <c r="K71" s="2" t="n">
        <v>63.4571003001183</v>
      </c>
      <c r="L71" s="2" t="n">
        <v>63.7408519005403</v>
      </c>
      <c r="M71" s="2" t="n">
        <v>63.774618900381</v>
      </c>
      <c r="N71" s="2" t="s">
        <v>26</v>
      </c>
      <c r="O71" s="2" t="n">
        <v>19.5</v>
      </c>
      <c r="P71" s="2" t="n">
        <v>1</v>
      </c>
      <c r="Q71" s="2" t="n">
        <v>1</v>
      </c>
      <c r="R71" s="2" t="n">
        <v>0.323213600553572</v>
      </c>
      <c r="S71" s="2" t="n">
        <v>310387</v>
      </c>
      <c r="T71" s="2" t="n">
        <v>1</v>
      </c>
      <c r="U71" s="2" t="s">
        <v>27</v>
      </c>
      <c r="V71" s="2" t="s">
        <v>28</v>
      </c>
      <c r="X71" s="2" t="s">
        <v>29</v>
      </c>
      <c r="Y71" s="2" t="n">
        <v>120.122861311538</v>
      </c>
      <c r="Z71" s="2" t="s">
        <v>30</v>
      </c>
    </row>
    <row r="72" customFormat="false" ht="15" hidden="false" customHeight="false" outlineLevel="0" collapsed="false">
      <c r="A72" s="2" t="n">
        <v>70</v>
      </c>
      <c r="B72" s="2" t="n">
        <v>0.5</v>
      </c>
      <c r="C72" s="2" t="n">
        <v>19</v>
      </c>
      <c r="D72" s="2" t="n">
        <v>63.7820546003059</v>
      </c>
      <c r="G72" s="2" t="n">
        <v>63.7749308003113</v>
      </c>
      <c r="H72" s="2" t="n">
        <v>63.7820546003059</v>
      </c>
      <c r="I72" s="2" t="n">
        <v>64.2652582004666</v>
      </c>
      <c r="J72" s="2" t="n">
        <v>64.2652582004666</v>
      </c>
      <c r="K72" s="2" t="n">
        <v>64.2748058997095</v>
      </c>
      <c r="L72" s="2" t="n">
        <v>64.5579284997657</v>
      </c>
      <c r="M72" s="2" t="n">
        <v>64.5822438001633</v>
      </c>
      <c r="N72" s="2" t="s">
        <v>26</v>
      </c>
      <c r="O72" s="2" t="n">
        <v>19</v>
      </c>
      <c r="P72" s="2" t="n">
        <v>1</v>
      </c>
      <c r="Q72" s="2" t="n">
        <v>1</v>
      </c>
      <c r="R72" s="2" t="n">
        <v>0.312857599928975</v>
      </c>
      <c r="S72" s="2" t="n">
        <v>310387</v>
      </c>
      <c r="T72" s="2" t="n">
        <v>1</v>
      </c>
      <c r="U72" s="2" t="s">
        <v>27</v>
      </c>
      <c r="V72" s="2" t="s">
        <v>28</v>
      </c>
      <c r="X72" s="2" t="s">
        <v>29</v>
      </c>
      <c r="Y72" s="2" t="n">
        <v>120.122861311538</v>
      </c>
      <c r="Z72" s="2" t="s">
        <v>30</v>
      </c>
    </row>
    <row r="73" customFormat="false" ht="15" hidden="false" customHeight="false" outlineLevel="0" collapsed="false">
      <c r="A73" s="2" t="n">
        <v>71</v>
      </c>
      <c r="B73" s="2" t="n">
        <v>0.5</v>
      </c>
      <c r="C73" s="2" t="n">
        <v>19</v>
      </c>
      <c r="D73" s="2" t="n">
        <v>64.5905576003715</v>
      </c>
      <c r="G73" s="2" t="n">
        <v>64.5824851999059</v>
      </c>
      <c r="H73" s="2" t="n">
        <v>64.5905576003715</v>
      </c>
      <c r="I73" s="2" t="n">
        <v>65.0738123003393</v>
      </c>
      <c r="J73" s="2" t="n">
        <v>65.0738123003393</v>
      </c>
      <c r="K73" s="2" t="n">
        <v>65.0828074002639</v>
      </c>
      <c r="L73" s="2" t="n">
        <v>65.3661849005148</v>
      </c>
      <c r="M73" s="2" t="n">
        <v>65.412390800193</v>
      </c>
      <c r="N73" s="2" t="s">
        <v>26</v>
      </c>
      <c r="O73" s="2" t="n">
        <v>19</v>
      </c>
      <c r="P73" s="2" t="n">
        <v>1</v>
      </c>
      <c r="Q73" s="2" t="n">
        <v>1</v>
      </c>
      <c r="R73" s="2" t="n">
        <v>0.335093500092626</v>
      </c>
      <c r="S73" s="2" t="n">
        <v>310387</v>
      </c>
      <c r="T73" s="2" t="n">
        <v>1</v>
      </c>
      <c r="U73" s="2" t="s">
        <v>27</v>
      </c>
      <c r="V73" s="2" t="s">
        <v>28</v>
      </c>
      <c r="X73" s="2" t="s">
        <v>29</v>
      </c>
      <c r="Y73" s="2" t="n">
        <v>120.122861311538</v>
      </c>
      <c r="Z73" s="2" t="s">
        <v>30</v>
      </c>
    </row>
    <row r="74" customFormat="false" ht="15" hidden="false" customHeight="false" outlineLevel="0" collapsed="false">
      <c r="A74" s="2" t="n">
        <v>72</v>
      </c>
      <c r="B74" s="2" t="n">
        <v>0.5</v>
      </c>
      <c r="C74" s="2" t="n">
        <v>19</v>
      </c>
      <c r="D74" s="2" t="n">
        <v>65.4244291000068</v>
      </c>
      <c r="G74" s="2" t="n">
        <v>65.4126281999052</v>
      </c>
      <c r="H74" s="2" t="n">
        <v>65.4244291000068</v>
      </c>
      <c r="I74" s="2" t="n">
        <v>65.906995699741</v>
      </c>
      <c r="J74" s="2" t="n">
        <v>65.906995699741</v>
      </c>
      <c r="K74" s="2" t="n">
        <v>65.9158127997071</v>
      </c>
      <c r="L74" s="2" t="n">
        <v>66.199352200143</v>
      </c>
      <c r="M74" s="2" t="n">
        <v>66.2740523004904</v>
      </c>
      <c r="N74" s="2" t="s">
        <v>26</v>
      </c>
      <c r="O74" s="2" t="n">
        <v>-19</v>
      </c>
      <c r="P74" s="2" t="n">
        <v>0</v>
      </c>
      <c r="Q74" s="2" t="n">
        <v>0</v>
      </c>
      <c r="R74" s="2" t="n">
        <v>0.361540399491787</v>
      </c>
      <c r="S74" s="2" t="n">
        <v>310387</v>
      </c>
      <c r="T74" s="2" t="n">
        <v>1</v>
      </c>
      <c r="U74" s="2" t="s">
        <v>27</v>
      </c>
      <c r="V74" s="2" t="s">
        <v>28</v>
      </c>
      <c r="X74" s="2" t="s">
        <v>29</v>
      </c>
      <c r="Y74" s="2" t="n">
        <v>120.122861311538</v>
      </c>
      <c r="Z74" s="2" t="s">
        <v>30</v>
      </c>
    </row>
    <row r="75" customFormat="false" ht="15" hidden="false" customHeight="false" outlineLevel="0" collapsed="false">
      <c r="A75" s="2" t="n">
        <v>73</v>
      </c>
      <c r="B75" s="2" t="n">
        <v>0.5</v>
      </c>
      <c r="C75" s="2" t="n">
        <v>19.5</v>
      </c>
      <c r="D75" s="2" t="n">
        <v>66.2817365005612</v>
      </c>
      <c r="G75" s="2" t="n">
        <v>66.2743408000097</v>
      </c>
      <c r="H75" s="2" t="n">
        <v>66.2817365005612</v>
      </c>
      <c r="I75" s="2" t="n">
        <v>66.7657051999122</v>
      </c>
      <c r="J75" s="2" t="n">
        <v>66.7657051999122</v>
      </c>
      <c r="K75" s="2" t="n">
        <v>66.7741131000221</v>
      </c>
      <c r="L75" s="2" t="n">
        <v>67.0574182998389</v>
      </c>
      <c r="M75" s="2" t="n">
        <v>67.1064555998892</v>
      </c>
      <c r="N75" s="2" t="s">
        <v>26</v>
      </c>
      <c r="O75" s="2" t="n">
        <v>-19.5</v>
      </c>
      <c r="P75" s="2" t="n">
        <v>0</v>
      </c>
      <c r="Q75" s="2" t="n">
        <v>0</v>
      </c>
      <c r="R75" s="2" t="n">
        <v>0.336966699920595</v>
      </c>
      <c r="S75" s="2" t="n">
        <v>310387</v>
      </c>
      <c r="T75" s="2" t="n">
        <v>1</v>
      </c>
      <c r="U75" s="2" t="s">
        <v>27</v>
      </c>
      <c r="V75" s="2" t="s">
        <v>28</v>
      </c>
      <c r="X75" s="2" t="s">
        <v>29</v>
      </c>
      <c r="Y75" s="2" t="n">
        <v>120.122861311538</v>
      </c>
      <c r="Z75" s="2" t="s">
        <v>30</v>
      </c>
    </row>
    <row r="76" customFormat="false" ht="15" hidden="false" customHeight="false" outlineLevel="0" collapsed="false">
      <c r="A76" s="2" t="n">
        <v>74</v>
      </c>
      <c r="B76" s="2" t="n">
        <v>0.5</v>
      </c>
      <c r="C76" s="2" t="n">
        <v>20</v>
      </c>
      <c r="D76" s="2" t="n">
        <v>67.1155858002603</v>
      </c>
      <c r="G76" s="2" t="n">
        <v>67.1068043000996</v>
      </c>
      <c r="H76" s="2" t="n">
        <v>67.1155858002603</v>
      </c>
      <c r="I76" s="2" t="n">
        <v>67.598812200129</v>
      </c>
      <c r="J76" s="2" t="n">
        <v>67.598812200129</v>
      </c>
      <c r="K76" s="2" t="n">
        <v>67.6075498005375</v>
      </c>
      <c r="L76" s="2" t="n">
        <v>67.8906148998067</v>
      </c>
      <c r="M76" s="2" t="n">
        <v>68.0326107004657</v>
      </c>
      <c r="N76" s="2" t="s">
        <v>26</v>
      </c>
      <c r="O76" s="2" t="n">
        <v>20</v>
      </c>
      <c r="P76" s="2" t="n">
        <v>1</v>
      </c>
      <c r="Q76" s="2" t="n">
        <v>1</v>
      </c>
      <c r="R76" s="2" t="n">
        <v>0.427383099682629</v>
      </c>
      <c r="S76" s="2" t="n">
        <v>310387</v>
      </c>
      <c r="T76" s="2" t="n">
        <v>1</v>
      </c>
      <c r="U76" s="2" t="s">
        <v>27</v>
      </c>
      <c r="V76" s="2" t="s">
        <v>28</v>
      </c>
      <c r="X76" s="2" t="s">
        <v>29</v>
      </c>
      <c r="Y76" s="2" t="n">
        <v>120.122861311538</v>
      </c>
      <c r="Z76" s="2" t="s">
        <v>30</v>
      </c>
    </row>
    <row r="77" customFormat="false" ht="15" hidden="false" customHeight="false" outlineLevel="0" collapsed="false">
      <c r="A77" s="2" t="n">
        <v>75</v>
      </c>
      <c r="B77" s="2" t="n">
        <v>0.5</v>
      </c>
      <c r="C77" s="2" t="n">
        <v>20</v>
      </c>
      <c r="D77" s="2" t="n">
        <v>68.0401766002178</v>
      </c>
      <c r="G77" s="2" t="n">
        <v>68.0329288002104</v>
      </c>
      <c r="H77" s="2" t="n">
        <v>68.0401766002178</v>
      </c>
      <c r="I77" s="2" t="n">
        <v>68.5238113999367</v>
      </c>
      <c r="J77" s="2" t="n">
        <v>68.5238113999367</v>
      </c>
      <c r="K77" s="2" t="n">
        <v>68.533380500041</v>
      </c>
      <c r="L77" s="2" t="n">
        <v>68.8157422002405</v>
      </c>
      <c r="M77" s="2" t="n">
        <v>68.8240545000881</v>
      </c>
      <c r="N77" s="2" t="s">
        <v>26</v>
      </c>
      <c r="O77" s="2" t="n">
        <v>-20</v>
      </c>
      <c r="P77" s="2" t="n">
        <v>0</v>
      </c>
      <c r="Q77" s="2" t="n">
        <v>0</v>
      </c>
      <c r="R77" s="2" t="n">
        <v>0.293909999541938</v>
      </c>
      <c r="S77" s="2" t="n">
        <v>310387</v>
      </c>
      <c r="T77" s="2" t="n">
        <v>1</v>
      </c>
      <c r="U77" s="2" t="s">
        <v>27</v>
      </c>
      <c r="V77" s="2" t="s">
        <v>28</v>
      </c>
      <c r="X77" s="2" t="s">
        <v>29</v>
      </c>
      <c r="Y77" s="2" t="n">
        <v>120.122861311538</v>
      </c>
      <c r="Z77" s="2" t="s">
        <v>30</v>
      </c>
    </row>
    <row r="78" customFormat="false" ht="15" hidden="false" customHeight="false" outlineLevel="0" collapsed="false">
      <c r="A78" s="2" t="n">
        <v>76</v>
      </c>
      <c r="B78" s="2" t="n">
        <v>0.5</v>
      </c>
      <c r="C78" s="2" t="n">
        <v>20</v>
      </c>
      <c r="D78" s="2" t="n">
        <v>68.8319806996733</v>
      </c>
      <c r="G78" s="2" t="n">
        <v>68.8243482001126</v>
      </c>
      <c r="H78" s="2" t="n">
        <v>68.8319806996733</v>
      </c>
      <c r="I78" s="2" t="n">
        <v>69.3152985004708</v>
      </c>
      <c r="J78" s="2" t="n">
        <v>69.3152985004708</v>
      </c>
      <c r="K78" s="2" t="n">
        <v>69.3234500000253</v>
      </c>
      <c r="L78" s="2" t="n">
        <v>69.6149271000177</v>
      </c>
      <c r="M78" s="2" t="n">
        <v>69.6415344998241</v>
      </c>
      <c r="N78" s="2" t="s">
        <v>26</v>
      </c>
      <c r="O78" s="2" t="n">
        <v>-20</v>
      </c>
      <c r="P78" s="2" t="n">
        <v>0</v>
      </c>
      <c r="Q78" s="2" t="n">
        <v>0</v>
      </c>
      <c r="R78" s="2" t="n">
        <v>0.317462899722159</v>
      </c>
      <c r="S78" s="2" t="n">
        <v>310387</v>
      </c>
      <c r="T78" s="2" t="n">
        <v>1</v>
      </c>
      <c r="U78" s="2" t="s">
        <v>27</v>
      </c>
      <c r="V78" s="2" t="s">
        <v>28</v>
      </c>
      <c r="X78" s="2" t="s">
        <v>29</v>
      </c>
      <c r="Y78" s="2" t="n">
        <v>120.122861311538</v>
      </c>
      <c r="Z78" s="2" t="s">
        <v>30</v>
      </c>
    </row>
    <row r="79" customFormat="false" ht="15" hidden="false" customHeight="false" outlineLevel="0" collapsed="false">
      <c r="A79" s="2" t="n">
        <v>77</v>
      </c>
      <c r="B79" s="2" t="n">
        <v>0.5</v>
      </c>
      <c r="C79" s="2" t="n">
        <v>20</v>
      </c>
      <c r="D79" s="2" t="n">
        <v>69.6483209002763</v>
      </c>
      <c r="G79" s="2" t="n">
        <v>69.6420240001753</v>
      </c>
      <c r="H79" s="2" t="n">
        <v>69.6483209002763</v>
      </c>
      <c r="I79" s="2" t="n">
        <v>70.1321763005108</v>
      </c>
      <c r="J79" s="2" t="n">
        <v>70.1321763005108</v>
      </c>
      <c r="K79" s="2" t="n">
        <v>70.140482400544</v>
      </c>
      <c r="L79" s="2" t="n">
        <v>70.4247767003253</v>
      </c>
      <c r="M79" s="2" t="n">
        <v>70.5161765003577</v>
      </c>
      <c r="N79" s="2" t="s">
        <v>26</v>
      </c>
      <c r="O79" s="2" t="n">
        <v>20</v>
      </c>
      <c r="P79" s="2" t="n">
        <v>1</v>
      </c>
      <c r="Q79" s="2" t="n">
        <v>1</v>
      </c>
      <c r="R79" s="2" t="n">
        <v>0.379014999605715</v>
      </c>
      <c r="S79" s="2" t="n">
        <v>310387</v>
      </c>
      <c r="T79" s="2" t="n">
        <v>1</v>
      </c>
      <c r="U79" s="2" t="s">
        <v>27</v>
      </c>
      <c r="V79" s="2" t="s">
        <v>28</v>
      </c>
      <c r="X79" s="2" t="s">
        <v>29</v>
      </c>
      <c r="Y79" s="2" t="n">
        <v>120.122861311538</v>
      </c>
      <c r="Z79" s="2" t="s">
        <v>30</v>
      </c>
    </row>
    <row r="80" customFormat="false" ht="15" hidden="false" customHeight="false" outlineLevel="0" collapsed="false">
      <c r="A80" s="2" t="n">
        <v>78</v>
      </c>
      <c r="B80" s="2" t="n">
        <v>0.5</v>
      </c>
      <c r="C80" s="2" t="n">
        <v>20</v>
      </c>
      <c r="D80" s="2" t="n">
        <v>70.5238989004865</v>
      </c>
      <c r="G80" s="2" t="n">
        <v>70.5164376003668</v>
      </c>
      <c r="H80" s="2" t="n">
        <v>70.5238989004865</v>
      </c>
      <c r="I80" s="2" t="n">
        <v>71.0073226001114</v>
      </c>
      <c r="J80" s="2" t="n">
        <v>71.0073226001114</v>
      </c>
      <c r="K80" s="2" t="n">
        <v>71.0160435000435</v>
      </c>
      <c r="L80" s="2" t="n">
        <v>71.2989296996966</v>
      </c>
      <c r="M80" s="2" t="n">
        <v>71.4825595002621</v>
      </c>
      <c r="N80" s="2" t="s">
        <v>26</v>
      </c>
      <c r="O80" s="2" t="n">
        <v>-20</v>
      </c>
      <c r="P80" s="2" t="n">
        <v>0</v>
      </c>
      <c r="Q80" s="2" t="n">
        <v>0</v>
      </c>
      <c r="R80" s="2" t="n">
        <v>0.466719999909401</v>
      </c>
      <c r="S80" s="2" t="n">
        <v>310387</v>
      </c>
      <c r="T80" s="2" t="n">
        <v>1</v>
      </c>
      <c r="U80" s="2" t="s">
        <v>27</v>
      </c>
      <c r="V80" s="2" t="s">
        <v>28</v>
      </c>
      <c r="X80" s="2" t="s">
        <v>29</v>
      </c>
      <c r="Y80" s="2" t="n">
        <v>120.122861311538</v>
      </c>
      <c r="Z80" s="2" t="s">
        <v>30</v>
      </c>
    </row>
    <row r="81" customFormat="false" ht="15" hidden="false" customHeight="false" outlineLevel="0" collapsed="false">
      <c r="A81" s="2" t="n">
        <v>79</v>
      </c>
      <c r="B81" s="2" t="n">
        <v>0.5</v>
      </c>
      <c r="C81" s="2" t="n">
        <v>20</v>
      </c>
      <c r="D81" s="2" t="n">
        <v>71.4904187005013</v>
      </c>
      <c r="G81" s="2" t="n">
        <v>71.4829005999491</v>
      </c>
      <c r="H81" s="2" t="n">
        <v>71.4904187005013</v>
      </c>
      <c r="I81" s="2" t="n">
        <v>71.9736339002848</v>
      </c>
      <c r="J81" s="2" t="n">
        <v>71.9736339002848</v>
      </c>
      <c r="K81" s="2" t="n">
        <v>71.9825980002061</v>
      </c>
      <c r="L81" s="2" t="n">
        <v>72.2652663001791</v>
      </c>
      <c r="M81" s="2" t="n">
        <v>72.2659614002332</v>
      </c>
      <c r="N81" s="2" t="s">
        <v>26</v>
      </c>
      <c r="O81" s="2" t="n">
        <v>-20</v>
      </c>
      <c r="P81" s="2" t="n">
        <v>1</v>
      </c>
      <c r="Q81" s="2" t="n">
        <v>1</v>
      </c>
      <c r="R81" s="2" t="n">
        <v>0.285325699485838</v>
      </c>
      <c r="S81" s="2" t="n">
        <v>310387</v>
      </c>
      <c r="T81" s="2" t="n">
        <v>1</v>
      </c>
      <c r="U81" s="2" t="s">
        <v>27</v>
      </c>
      <c r="V81" s="2" t="s">
        <v>28</v>
      </c>
      <c r="X81" s="2" t="s">
        <v>29</v>
      </c>
      <c r="Y81" s="2" t="n">
        <v>120.122861311538</v>
      </c>
      <c r="Z81" s="2" t="s">
        <v>30</v>
      </c>
    </row>
    <row r="82" customFormat="false" ht="15" hidden="false" customHeight="false" outlineLevel="0" collapsed="false">
      <c r="A82" s="2" t="n">
        <v>80</v>
      </c>
      <c r="B82" s="2" t="n">
        <v>0.5</v>
      </c>
      <c r="C82" s="2" t="n">
        <v>20</v>
      </c>
      <c r="D82" s="2" t="n">
        <v>72.2738605001941</v>
      </c>
      <c r="G82" s="2" t="n">
        <v>72.2662311997265</v>
      </c>
      <c r="H82" s="2" t="n">
        <v>72.2738605001941</v>
      </c>
      <c r="I82" s="2" t="n">
        <v>72.7575018005446</v>
      </c>
      <c r="J82" s="2" t="n">
        <v>72.7575018005446</v>
      </c>
      <c r="K82" s="2" t="n">
        <v>72.7654887000099</v>
      </c>
      <c r="L82" s="2" t="n">
        <v>73.0490079000592</v>
      </c>
      <c r="M82" s="2" t="n">
        <v>73.2154306005687</v>
      </c>
      <c r="N82" s="2" t="s">
        <v>26</v>
      </c>
      <c r="O82" s="2" t="n">
        <v>-20</v>
      </c>
      <c r="P82" s="2" t="n">
        <v>0</v>
      </c>
      <c r="Q82" s="2" t="n">
        <v>0</v>
      </c>
      <c r="R82" s="2" t="n">
        <v>0.453871600329876</v>
      </c>
      <c r="S82" s="2" t="n">
        <v>310387</v>
      </c>
      <c r="T82" s="2" t="n">
        <v>1</v>
      </c>
      <c r="U82" s="2" t="s">
        <v>27</v>
      </c>
      <c r="V82" s="2" t="s">
        <v>28</v>
      </c>
      <c r="X82" s="2" t="s">
        <v>29</v>
      </c>
      <c r="Y82" s="2" t="n">
        <v>120.122861311538</v>
      </c>
      <c r="Z82" s="2" t="s">
        <v>30</v>
      </c>
    </row>
    <row r="83" customFormat="false" ht="15" hidden="false" customHeight="false" outlineLevel="0" collapsed="false">
      <c r="A83" s="2" t="n">
        <v>81</v>
      </c>
      <c r="B83" s="2" t="n">
        <v>0.5</v>
      </c>
      <c r="C83" s="2" t="n">
        <v>20</v>
      </c>
      <c r="D83" s="2" t="n">
        <v>73.2230748999864</v>
      </c>
      <c r="G83" s="2" t="n">
        <v>73.2156918002293</v>
      </c>
      <c r="H83" s="2" t="n">
        <v>73.2230748999864</v>
      </c>
      <c r="I83" s="2" t="n">
        <v>73.7070687003434</v>
      </c>
      <c r="J83" s="2" t="n">
        <v>73.7070687003434</v>
      </c>
      <c r="K83" s="2" t="n">
        <v>73.7153088999912</v>
      </c>
      <c r="L83" s="2" t="n">
        <v>73.99868780002</v>
      </c>
      <c r="M83" s="2" t="n">
        <v>74.4081316003576</v>
      </c>
      <c r="N83" s="2" t="s">
        <v>26</v>
      </c>
      <c r="O83" s="2" t="n">
        <v>-20</v>
      </c>
      <c r="P83" s="2" t="n">
        <v>0</v>
      </c>
      <c r="Q83" s="2" t="n">
        <v>0</v>
      </c>
      <c r="R83" s="2" t="n">
        <v>0.692378199659288</v>
      </c>
      <c r="S83" s="2" t="n">
        <v>310387</v>
      </c>
      <c r="T83" s="2" t="n">
        <v>1</v>
      </c>
      <c r="U83" s="2" t="s">
        <v>27</v>
      </c>
      <c r="V83" s="2" t="s">
        <v>28</v>
      </c>
      <c r="X83" s="2" t="s">
        <v>29</v>
      </c>
      <c r="Y83" s="2" t="n">
        <v>120.122861311538</v>
      </c>
      <c r="Z83" s="2" t="s">
        <v>30</v>
      </c>
    </row>
    <row r="84" customFormat="false" ht="15" hidden="false" customHeight="false" outlineLevel="0" collapsed="false">
      <c r="A84" s="2" t="n">
        <v>82</v>
      </c>
      <c r="B84" s="2" t="n">
        <v>0.5</v>
      </c>
      <c r="C84" s="2" t="n">
        <v>20</v>
      </c>
      <c r="D84" s="2" t="n">
        <v>74.4152313005179</v>
      </c>
      <c r="G84" s="2" t="n">
        <v>74.4087482998148</v>
      </c>
      <c r="H84" s="2" t="n">
        <v>74.4152313005179</v>
      </c>
      <c r="I84" s="2" t="n">
        <v>74.9074015002698</v>
      </c>
      <c r="J84" s="2" t="n">
        <v>74.9074015002698</v>
      </c>
      <c r="K84" s="2" t="n">
        <v>74.9074015002698</v>
      </c>
      <c r="L84" s="2" t="n">
        <v>75.1984162004665</v>
      </c>
      <c r="M84" s="2" t="n">
        <v>75.3913447000086</v>
      </c>
      <c r="N84" s="2" t="s">
        <v>26</v>
      </c>
      <c r="O84" s="2" t="n">
        <v>20</v>
      </c>
      <c r="P84" s="2" t="n">
        <v>1</v>
      </c>
      <c r="Q84" s="2" t="n">
        <v>1</v>
      </c>
      <c r="R84" s="2" t="n">
        <v>0.479527200572193</v>
      </c>
      <c r="S84" s="2" t="n">
        <v>310387</v>
      </c>
      <c r="T84" s="2" t="n">
        <v>1</v>
      </c>
      <c r="U84" s="2" t="s">
        <v>27</v>
      </c>
      <c r="V84" s="2" t="s">
        <v>28</v>
      </c>
      <c r="X84" s="2" t="s">
        <v>29</v>
      </c>
      <c r="Y84" s="2" t="n">
        <v>120.122861311538</v>
      </c>
      <c r="Z84" s="2" t="s">
        <v>30</v>
      </c>
    </row>
    <row r="85" customFormat="false" ht="15" hidden="false" customHeight="false" outlineLevel="0" collapsed="false">
      <c r="A85" s="2" t="n">
        <v>83</v>
      </c>
      <c r="B85" s="2" t="n">
        <v>0.5</v>
      </c>
      <c r="C85" s="2" t="n">
        <v>20</v>
      </c>
      <c r="D85" s="2" t="n">
        <v>75.398676100187</v>
      </c>
      <c r="G85" s="2" t="n">
        <v>75.3916487004608</v>
      </c>
      <c r="H85" s="2" t="n">
        <v>75.398676100187</v>
      </c>
      <c r="I85" s="2" t="n">
        <v>75.8901836005971</v>
      </c>
      <c r="J85" s="2" t="n">
        <v>75.8901836005971</v>
      </c>
      <c r="K85" s="2" t="n">
        <v>75.8901836005971</v>
      </c>
      <c r="L85" s="2" t="n">
        <v>76.1809224002063</v>
      </c>
      <c r="M85" s="2" t="n">
        <v>76.1815486000851</v>
      </c>
      <c r="N85" s="2" t="s">
        <v>26</v>
      </c>
      <c r="O85" s="2" t="n">
        <v>-20</v>
      </c>
      <c r="P85" s="2" t="n">
        <v>0</v>
      </c>
      <c r="Q85" s="2" t="n">
        <v>0</v>
      </c>
      <c r="R85" s="2" t="n">
        <v>0.28668210003525</v>
      </c>
      <c r="S85" s="2" t="n">
        <v>310387</v>
      </c>
      <c r="T85" s="2" t="n">
        <v>1</v>
      </c>
      <c r="U85" s="2" t="s">
        <v>27</v>
      </c>
      <c r="V85" s="2" t="s">
        <v>28</v>
      </c>
      <c r="X85" s="2" t="s">
        <v>29</v>
      </c>
      <c r="Y85" s="2" t="n">
        <v>120.122861311538</v>
      </c>
      <c r="Z85" s="2" t="s">
        <v>30</v>
      </c>
    </row>
    <row r="86" customFormat="false" ht="15" hidden="false" customHeight="false" outlineLevel="0" collapsed="false">
      <c r="A86" s="2" t="n">
        <v>84</v>
      </c>
      <c r="B86" s="2" t="n">
        <v>0.5</v>
      </c>
      <c r="C86" s="2" t="n">
        <v>20</v>
      </c>
      <c r="D86" s="2" t="n">
        <v>76.189949600026</v>
      </c>
      <c r="G86" s="2" t="n">
        <v>76.1817805003375</v>
      </c>
      <c r="H86" s="2" t="n">
        <v>76.189949600026</v>
      </c>
      <c r="I86" s="2" t="n">
        <v>76.6728984005749</v>
      </c>
      <c r="J86" s="2" t="n">
        <v>76.6728984005749</v>
      </c>
      <c r="K86" s="2" t="n">
        <v>76.6816255999729</v>
      </c>
      <c r="L86" s="2" t="n">
        <v>76.965164700523</v>
      </c>
      <c r="M86" s="2" t="n">
        <v>77.0014647999778</v>
      </c>
      <c r="N86" s="2" t="s">
        <v>26</v>
      </c>
      <c r="O86" s="2" t="n">
        <v>-20</v>
      </c>
      <c r="P86" s="2" t="n">
        <v>0</v>
      </c>
      <c r="Q86" s="2" t="n">
        <v>0</v>
      </c>
      <c r="R86" s="2" t="n">
        <v>0.325703600421548</v>
      </c>
      <c r="S86" s="2" t="n">
        <v>310387</v>
      </c>
      <c r="T86" s="2" t="n">
        <v>1</v>
      </c>
      <c r="U86" s="2" t="s">
        <v>27</v>
      </c>
      <c r="V86" s="2" t="s">
        <v>28</v>
      </c>
      <c r="X86" s="2" t="s">
        <v>29</v>
      </c>
      <c r="Y86" s="2" t="n">
        <v>120.122861311538</v>
      </c>
      <c r="Z86" s="2" t="s">
        <v>30</v>
      </c>
    </row>
    <row r="87" customFormat="false" ht="15" hidden="false" customHeight="false" outlineLevel="0" collapsed="false">
      <c r="A87" s="2" t="n">
        <v>85</v>
      </c>
      <c r="B87" s="2" t="n">
        <v>0.5</v>
      </c>
      <c r="C87" s="2" t="n">
        <v>20</v>
      </c>
      <c r="D87" s="2" t="n">
        <v>77.0140233002603</v>
      </c>
      <c r="G87" s="2" t="n">
        <v>77.0017478000373</v>
      </c>
      <c r="H87" s="2" t="n">
        <v>77.0140233002603</v>
      </c>
      <c r="I87" s="2" t="n">
        <v>77.4987540999427</v>
      </c>
      <c r="J87" s="2" t="n">
        <v>77.4987540999427</v>
      </c>
      <c r="K87" s="2" t="n">
        <v>77.5066031003371</v>
      </c>
      <c r="L87" s="2" t="n">
        <v>77.7912665000185</v>
      </c>
      <c r="M87" s="2" t="n">
        <v>77.85082480032</v>
      </c>
      <c r="N87" s="2" t="s">
        <v>26</v>
      </c>
      <c r="O87" s="2" t="n">
        <v>-20</v>
      </c>
      <c r="P87" s="2" t="n">
        <v>0</v>
      </c>
      <c r="Q87" s="2" t="n">
        <v>0</v>
      </c>
      <c r="R87" s="2" t="n">
        <v>0.348305799998343</v>
      </c>
      <c r="S87" s="2" t="n">
        <v>310387</v>
      </c>
      <c r="T87" s="2" t="n">
        <v>1</v>
      </c>
      <c r="U87" s="2" t="s">
        <v>27</v>
      </c>
      <c r="V87" s="2" t="s">
        <v>28</v>
      </c>
      <c r="X87" s="2" t="s">
        <v>29</v>
      </c>
      <c r="Y87" s="2" t="n">
        <v>120.122861311538</v>
      </c>
      <c r="Z87" s="2" t="s">
        <v>30</v>
      </c>
    </row>
    <row r="88" customFormat="false" ht="15" hidden="false" customHeight="false" outlineLevel="0" collapsed="false">
      <c r="A88" s="2" t="n">
        <v>86</v>
      </c>
      <c r="B88" s="2" t="n">
        <v>0.5</v>
      </c>
      <c r="C88" s="2" t="n">
        <v>20</v>
      </c>
      <c r="D88" s="2" t="n">
        <v>77.8635637005791</v>
      </c>
      <c r="G88" s="2" t="n">
        <v>77.851088100113</v>
      </c>
      <c r="H88" s="2" t="n">
        <v>77.8635637005791</v>
      </c>
      <c r="I88" s="2" t="n">
        <v>78.348166000098</v>
      </c>
      <c r="J88" s="2" t="n">
        <v>78.348166000098</v>
      </c>
      <c r="K88" s="2" t="n">
        <v>78.357270100154</v>
      </c>
      <c r="L88" s="2" t="n">
        <v>78.6401642998681</v>
      </c>
      <c r="M88" s="2" t="n">
        <v>78.6848681997508</v>
      </c>
      <c r="N88" s="2" t="s">
        <v>26</v>
      </c>
      <c r="O88" s="2" t="n">
        <v>20</v>
      </c>
      <c r="P88" s="2" t="n">
        <v>1</v>
      </c>
      <c r="Q88" s="2" t="n">
        <v>1</v>
      </c>
      <c r="R88" s="2" t="n">
        <v>0.333430700004101</v>
      </c>
      <c r="S88" s="2" t="n">
        <v>310387</v>
      </c>
      <c r="T88" s="2" t="n">
        <v>1</v>
      </c>
      <c r="U88" s="2" t="s">
        <v>27</v>
      </c>
      <c r="V88" s="2" t="s">
        <v>28</v>
      </c>
      <c r="X88" s="2" t="s">
        <v>29</v>
      </c>
      <c r="Y88" s="2" t="n">
        <v>120.122861311538</v>
      </c>
      <c r="Z88" s="2" t="s">
        <v>30</v>
      </c>
    </row>
    <row r="89" customFormat="false" ht="15" hidden="false" customHeight="false" outlineLevel="0" collapsed="false">
      <c r="A89" s="2" t="n">
        <v>87</v>
      </c>
      <c r="B89" s="2" t="n">
        <v>0.5</v>
      </c>
      <c r="C89" s="2" t="n">
        <v>20</v>
      </c>
      <c r="D89" s="2" t="n">
        <v>78.6972197005525</v>
      </c>
      <c r="G89" s="2" t="n">
        <v>78.6851062998176</v>
      </c>
      <c r="H89" s="2" t="n">
        <v>78.6972197005525</v>
      </c>
      <c r="I89" s="2" t="n">
        <v>79.1815315997228</v>
      </c>
      <c r="J89" s="2" t="n">
        <v>79.1815315997228</v>
      </c>
      <c r="K89" s="2" t="n">
        <v>79.1907727001235</v>
      </c>
      <c r="L89" s="2" t="n">
        <v>79.4739597002044</v>
      </c>
      <c r="M89" s="2" t="n">
        <v>79.5733305998147</v>
      </c>
      <c r="N89" s="2" t="s">
        <v>26</v>
      </c>
      <c r="O89" s="2" t="n">
        <v>20</v>
      </c>
      <c r="P89" s="2" t="n">
        <v>1</v>
      </c>
      <c r="Q89" s="2" t="n">
        <v>1</v>
      </c>
      <c r="R89" s="2" t="n">
        <v>0.386854600161314</v>
      </c>
      <c r="S89" s="2" t="n">
        <v>310387</v>
      </c>
      <c r="T89" s="2" t="n">
        <v>1</v>
      </c>
      <c r="U89" s="2" t="s">
        <v>27</v>
      </c>
      <c r="V89" s="2" t="s">
        <v>28</v>
      </c>
      <c r="X89" s="2" t="s">
        <v>29</v>
      </c>
      <c r="Y89" s="2" t="n">
        <v>120.122861311538</v>
      </c>
      <c r="Z89" s="2" t="s">
        <v>30</v>
      </c>
    </row>
    <row r="90" customFormat="false" ht="15" hidden="false" customHeight="false" outlineLevel="0" collapsed="false">
      <c r="A90" s="2" t="n">
        <v>88</v>
      </c>
      <c r="B90" s="2" t="n">
        <v>0.5</v>
      </c>
      <c r="C90" s="2" t="n">
        <v>20</v>
      </c>
      <c r="D90" s="2" t="n">
        <v>79.5815150998533</v>
      </c>
      <c r="G90" s="2" t="n">
        <v>79.5735739003867</v>
      </c>
      <c r="H90" s="2" t="n">
        <v>79.5815150998533</v>
      </c>
      <c r="I90" s="2" t="n">
        <v>80.0652344999835</v>
      </c>
      <c r="J90" s="2" t="n">
        <v>80.0652344999835</v>
      </c>
      <c r="K90" s="2" t="n">
        <v>80.0740641998127</v>
      </c>
      <c r="L90" s="2" t="n">
        <v>80.3641606001183</v>
      </c>
      <c r="M90" s="2" t="n">
        <v>80.4147759005427</v>
      </c>
      <c r="N90" s="2" t="s">
        <v>26</v>
      </c>
      <c r="O90" s="2" t="n">
        <v>-20</v>
      </c>
      <c r="P90" s="2" t="n">
        <v>0</v>
      </c>
      <c r="Q90" s="2" t="n">
        <v>0</v>
      </c>
      <c r="R90" s="2" t="n">
        <v>0.342914200387895</v>
      </c>
      <c r="S90" s="2" t="n">
        <v>310387</v>
      </c>
      <c r="T90" s="2" t="n">
        <v>1</v>
      </c>
      <c r="U90" s="2" t="s">
        <v>27</v>
      </c>
      <c r="V90" s="2" t="s">
        <v>28</v>
      </c>
      <c r="X90" s="2" t="s">
        <v>29</v>
      </c>
      <c r="Y90" s="2" t="n">
        <v>120.122861311538</v>
      </c>
      <c r="Z90" s="2" t="s">
        <v>30</v>
      </c>
    </row>
    <row r="91" customFormat="false" ht="15" hidden="false" customHeight="false" outlineLevel="0" collapsed="false">
      <c r="A91" s="2" t="n">
        <v>89</v>
      </c>
      <c r="B91" s="2" t="n">
        <v>0.5</v>
      </c>
      <c r="C91" s="2" t="n">
        <v>20</v>
      </c>
      <c r="D91" s="2" t="n">
        <v>80.4225737005472</v>
      </c>
      <c r="G91" s="2" t="n">
        <v>80.4149823999032</v>
      </c>
      <c r="H91" s="2" t="n">
        <v>80.4225737005472</v>
      </c>
      <c r="I91" s="2" t="n">
        <v>80.9070129003376</v>
      </c>
      <c r="J91" s="2" t="n">
        <v>80.9070129003376</v>
      </c>
      <c r="K91" s="2" t="n">
        <v>80.9155195998028</v>
      </c>
      <c r="L91" s="2" t="n">
        <v>81.1984398001805</v>
      </c>
      <c r="M91" s="2" t="n">
        <v>81.356281099841</v>
      </c>
      <c r="N91" s="2" t="s">
        <v>26</v>
      </c>
      <c r="O91" s="2" t="n">
        <v>-20</v>
      </c>
      <c r="P91" s="2" t="n">
        <v>0</v>
      </c>
      <c r="Q91" s="2" t="n">
        <v>0</v>
      </c>
      <c r="R91" s="2" t="n">
        <v>0.435427200049162</v>
      </c>
      <c r="S91" s="2" t="n">
        <v>310387</v>
      </c>
      <c r="T91" s="2" t="n">
        <v>1</v>
      </c>
      <c r="U91" s="2" t="s">
        <v>27</v>
      </c>
      <c r="V91" s="2" t="s">
        <v>28</v>
      </c>
      <c r="X91" s="2" t="s">
        <v>29</v>
      </c>
      <c r="Y91" s="2" t="n">
        <v>120.122861311538</v>
      </c>
      <c r="Z91" s="2" t="s">
        <v>30</v>
      </c>
    </row>
    <row r="92" customFormat="false" ht="15" hidden="false" customHeight="false" outlineLevel="0" collapsed="false">
      <c r="A92" s="2" t="n">
        <v>90</v>
      </c>
      <c r="B92" s="2" t="n">
        <v>0.5</v>
      </c>
      <c r="C92" s="2" t="n">
        <v>20</v>
      </c>
      <c r="D92" s="2" t="n">
        <v>81.365493000485</v>
      </c>
      <c r="G92" s="2" t="n">
        <v>81.3565870998427</v>
      </c>
      <c r="H92" s="2" t="n">
        <v>81.365493000485</v>
      </c>
      <c r="I92" s="2" t="n">
        <v>81.8483148999512</v>
      </c>
      <c r="J92" s="2" t="n">
        <v>81.8483148999512</v>
      </c>
      <c r="K92" s="2" t="n">
        <v>81.8566372003406</v>
      </c>
      <c r="L92" s="2" t="n">
        <v>82.140556300059</v>
      </c>
      <c r="M92" s="2" t="n">
        <v>82.2656302005053</v>
      </c>
      <c r="N92" s="2" t="s">
        <v>26</v>
      </c>
      <c r="O92" s="2" t="n">
        <v>-20</v>
      </c>
      <c r="P92" s="2" t="n">
        <v>0</v>
      </c>
      <c r="Q92" s="2" t="n">
        <v>0</v>
      </c>
      <c r="R92" s="2" t="n">
        <v>0.411509799771011</v>
      </c>
      <c r="S92" s="2" t="n">
        <v>310387</v>
      </c>
      <c r="T92" s="2" t="n">
        <v>1</v>
      </c>
      <c r="U92" s="2" t="s">
        <v>27</v>
      </c>
      <c r="V92" s="2" t="s">
        <v>28</v>
      </c>
      <c r="X92" s="2" t="s">
        <v>29</v>
      </c>
      <c r="Y92" s="2" t="n">
        <v>120.122861311538</v>
      </c>
      <c r="Z92" s="2" t="s">
        <v>30</v>
      </c>
    </row>
    <row r="93" customFormat="false" ht="15" hidden="false" customHeight="false" outlineLevel="0" collapsed="false">
      <c r="A93" s="2" t="n">
        <v>91</v>
      </c>
      <c r="B93" s="2" t="n">
        <v>0.5</v>
      </c>
      <c r="C93" s="2" t="n">
        <v>20</v>
      </c>
      <c r="D93" s="2" t="n">
        <v>82.2734994003549</v>
      </c>
      <c r="G93" s="2" t="n">
        <v>82.2658814005554</v>
      </c>
      <c r="H93" s="2" t="n">
        <v>82.2734994003549</v>
      </c>
      <c r="I93" s="2" t="n">
        <v>82.7562394002453</v>
      </c>
      <c r="J93" s="2" t="n">
        <v>82.7562394002453</v>
      </c>
      <c r="K93" s="2" t="n">
        <v>82.7652245005593</v>
      </c>
      <c r="L93" s="2" t="n">
        <v>83.0487373005599</v>
      </c>
      <c r="M93" s="2" t="n">
        <v>83.0939736003056</v>
      </c>
      <c r="N93" s="2" t="s">
        <v>26</v>
      </c>
      <c r="O93" s="2" t="n">
        <v>20</v>
      </c>
      <c r="P93" s="2" t="n">
        <v>1</v>
      </c>
      <c r="Q93" s="2" t="n">
        <v>1</v>
      </c>
      <c r="R93" s="2" t="n">
        <v>0.333744300529361</v>
      </c>
      <c r="S93" s="2" t="n">
        <v>310387</v>
      </c>
      <c r="T93" s="2" t="n">
        <v>1</v>
      </c>
      <c r="U93" s="2" t="s">
        <v>27</v>
      </c>
      <c r="V93" s="2" t="s">
        <v>28</v>
      </c>
      <c r="X93" s="2" t="s">
        <v>29</v>
      </c>
      <c r="Y93" s="2" t="n">
        <v>120.122861311538</v>
      </c>
      <c r="Z93" s="2" t="s">
        <v>30</v>
      </c>
    </row>
    <row r="94" customFormat="false" ht="15" hidden="false" customHeight="false" outlineLevel="0" collapsed="false">
      <c r="A94" s="2" t="n">
        <v>92</v>
      </c>
      <c r="B94" s="2" t="n">
        <v>0.5</v>
      </c>
      <c r="C94" s="2" t="n">
        <v>20</v>
      </c>
      <c r="D94" s="2" t="n">
        <v>83.1054996000603</v>
      </c>
      <c r="G94" s="2" t="n">
        <v>83.0942582003772</v>
      </c>
      <c r="H94" s="2" t="n">
        <v>83.1054996000603</v>
      </c>
      <c r="I94" s="2" t="n">
        <v>83.5897110998631</v>
      </c>
      <c r="J94" s="2" t="n">
        <v>83.5897110998631</v>
      </c>
      <c r="K94" s="2" t="n">
        <v>83.5987876998261</v>
      </c>
      <c r="L94" s="2" t="n">
        <v>83.8817412005737</v>
      </c>
      <c r="M94" s="2" t="n">
        <v>83.9901191005483</v>
      </c>
      <c r="N94" s="2" t="s">
        <v>26</v>
      </c>
      <c r="O94" s="2" t="n">
        <v>20</v>
      </c>
      <c r="P94" s="2" t="n">
        <v>1</v>
      </c>
      <c r="Q94" s="2" t="n">
        <v>1</v>
      </c>
      <c r="R94" s="2" t="n">
        <v>0.395151699893177</v>
      </c>
      <c r="S94" s="2" t="n">
        <v>310387</v>
      </c>
      <c r="T94" s="2" t="n">
        <v>1</v>
      </c>
      <c r="U94" s="2" t="s">
        <v>27</v>
      </c>
      <c r="V94" s="2" t="s">
        <v>28</v>
      </c>
      <c r="X94" s="2" t="s">
        <v>29</v>
      </c>
      <c r="Y94" s="2" t="n">
        <v>120.122861311538</v>
      </c>
      <c r="Z94" s="2" t="s">
        <v>30</v>
      </c>
    </row>
    <row r="95" customFormat="false" ht="15" hidden="false" customHeight="false" outlineLevel="0" collapsed="false">
      <c r="A95" s="2" t="n">
        <v>93</v>
      </c>
      <c r="B95" s="2" t="n">
        <v>0.5</v>
      </c>
      <c r="C95" s="2" t="n">
        <v>20</v>
      </c>
      <c r="D95" s="2" t="n">
        <v>83.998282100074</v>
      </c>
      <c r="G95" s="2" t="n">
        <v>83.9904016004875</v>
      </c>
      <c r="H95" s="2" t="n">
        <v>83.998282100074</v>
      </c>
      <c r="I95" s="2" t="n">
        <v>84.4815269997343</v>
      </c>
      <c r="J95" s="2" t="n">
        <v>84.4815269997343</v>
      </c>
      <c r="K95" s="2" t="n">
        <v>84.4897747999057</v>
      </c>
      <c r="L95" s="2" t="n">
        <v>84.7735919998959</v>
      </c>
      <c r="M95" s="2" t="n">
        <v>84.8825585003942</v>
      </c>
      <c r="N95" s="2" t="s">
        <v>26</v>
      </c>
      <c r="O95" s="2" t="n">
        <v>-20</v>
      </c>
      <c r="P95" s="2" t="n">
        <v>0</v>
      </c>
      <c r="Q95" s="2" t="n">
        <v>0</v>
      </c>
      <c r="R95" s="2" t="n">
        <v>0.397666099481285</v>
      </c>
      <c r="S95" s="2" t="n">
        <v>310387</v>
      </c>
      <c r="T95" s="2" t="n">
        <v>1</v>
      </c>
      <c r="U95" s="2" t="s">
        <v>27</v>
      </c>
      <c r="V95" s="2" t="s">
        <v>28</v>
      </c>
      <c r="X95" s="2" t="s">
        <v>29</v>
      </c>
      <c r="Y95" s="2" t="n">
        <v>120.122861311538</v>
      </c>
      <c r="Z95" s="2" t="s">
        <v>30</v>
      </c>
    </row>
    <row r="96" customFormat="false" ht="15" hidden="false" customHeight="false" outlineLevel="0" collapsed="false">
      <c r="A96" s="2" t="n">
        <v>94</v>
      </c>
      <c r="B96" s="2" t="n">
        <v>0.5</v>
      </c>
      <c r="C96" s="2" t="n">
        <v>20</v>
      </c>
      <c r="D96" s="2" t="n">
        <v>84.8902746001259</v>
      </c>
      <c r="G96" s="2" t="n">
        <v>84.8828627001494</v>
      </c>
      <c r="H96" s="2" t="n">
        <v>84.8902746001259</v>
      </c>
      <c r="I96" s="2" t="n">
        <v>85.3737751003355</v>
      </c>
      <c r="J96" s="2" t="n">
        <v>85.3737751003355</v>
      </c>
      <c r="K96" s="2" t="n">
        <v>85.3814492998645</v>
      </c>
      <c r="M96" s="2" t="n">
        <v>85.6434826003388</v>
      </c>
      <c r="N96" s="2" t="s">
        <v>26</v>
      </c>
      <c r="O96" s="2" t="n">
        <v>20</v>
      </c>
      <c r="P96" s="2" t="n">
        <v>1</v>
      </c>
      <c r="Q96" s="2" t="n">
        <v>1</v>
      </c>
      <c r="R96" s="2" t="n">
        <v>0.267467900179327</v>
      </c>
      <c r="S96" s="2" t="n">
        <v>310387</v>
      </c>
      <c r="T96" s="2" t="n">
        <v>1</v>
      </c>
      <c r="U96" s="2" t="s">
        <v>27</v>
      </c>
      <c r="V96" s="2" t="s">
        <v>28</v>
      </c>
      <c r="X96" s="2" t="s">
        <v>29</v>
      </c>
      <c r="Y96" s="2" t="n">
        <v>120.122861311538</v>
      </c>
      <c r="Z96" s="2" t="s">
        <v>30</v>
      </c>
    </row>
    <row r="97" customFormat="false" ht="15" hidden="false" customHeight="false" outlineLevel="0" collapsed="false">
      <c r="A97" s="2" t="n">
        <v>95</v>
      </c>
      <c r="B97" s="2" t="n">
        <v>0.5</v>
      </c>
      <c r="C97" s="2" t="n">
        <v>20</v>
      </c>
      <c r="D97" s="2" t="n">
        <v>85.6551887998357</v>
      </c>
      <c r="G97" s="2" t="n">
        <v>85.6437426004559</v>
      </c>
      <c r="H97" s="2" t="n">
        <v>85.6551887998357</v>
      </c>
      <c r="I97" s="2" t="n">
        <v>86.1406046003103</v>
      </c>
      <c r="J97" s="2" t="n">
        <v>86.1406046003103</v>
      </c>
      <c r="K97" s="2" t="n">
        <v>86.1485016997904</v>
      </c>
      <c r="L97" s="2" t="n">
        <v>86.4469991000369</v>
      </c>
      <c r="M97" s="2" t="n">
        <v>86.4338466003537</v>
      </c>
      <c r="N97" s="2" t="s">
        <v>26</v>
      </c>
      <c r="O97" s="2" t="n">
        <v>-20</v>
      </c>
      <c r="P97" s="2" t="n">
        <v>0</v>
      </c>
      <c r="Q97" s="2" t="n">
        <v>0</v>
      </c>
      <c r="R97" s="2" t="n">
        <v>0.290058299899101</v>
      </c>
      <c r="S97" s="2" t="n">
        <v>310387</v>
      </c>
      <c r="T97" s="2" t="n">
        <v>1</v>
      </c>
      <c r="U97" s="2" t="s">
        <v>27</v>
      </c>
      <c r="V97" s="2" t="s">
        <v>28</v>
      </c>
      <c r="X97" s="2" t="s">
        <v>29</v>
      </c>
      <c r="Y97" s="2" t="n">
        <v>120.122861311538</v>
      </c>
      <c r="Z97" s="2" t="s">
        <v>30</v>
      </c>
    </row>
    <row r="98" customFormat="false" ht="15" hidden="false" customHeight="false" outlineLevel="0" collapsed="false">
      <c r="A98" s="2" t="n">
        <v>96</v>
      </c>
      <c r="B98" s="2" t="n">
        <v>0.5</v>
      </c>
      <c r="C98" s="2" t="n">
        <v>20</v>
      </c>
      <c r="D98" s="2" t="n">
        <v>86.4469991000369</v>
      </c>
      <c r="G98" s="2" t="n">
        <v>86.434135099873</v>
      </c>
      <c r="H98" s="2" t="n">
        <v>86.4469991000369</v>
      </c>
      <c r="I98" s="2" t="n">
        <v>86.940726400353</v>
      </c>
      <c r="J98" s="2" t="n">
        <v>86.940726400353</v>
      </c>
      <c r="K98" s="2" t="n">
        <v>86.940726400353</v>
      </c>
      <c r="L98" s="2" t="n">
        <v>87.2390825003386</v>
      </c>
      <c r="M98" s="2" t="n">
        <v>87.2268898999319</v>
      </c>
      <c r="N98" s="2" t="s">
        <v>26</v>
      </c>
      <c r="O98" s="2" t="n">
        <v>20</v>
      </c>
      <c r="P98" s="2" t="n">
        <v>1</v>
      </c>
      <c r="Q98" s="2" t="n">
        <v>1</v>
      </c>
      <c r="R98" s="2" t="n">
        <v>0.282056799158454</v>
      </c>
      <c r="S98" s="2" t="n">
        <v>310387</v>
      </c>
      <c r="T98" s="2" t="n">
        <v>1</v>
      </c>
      <c r="U98" s="2" t="s">
        <v>27</v>
      </c>
      <c r="V98" s="2" t="s">
        <v>28</v>
      </c>
      <c r="X98" s="2" t="s">
        <v>29</v>
      </c>
      <c r="Y98" s="2" t="n">
        <v>120.122861311538</v>
      </c>
      <c r="Z98" s="2" t="s">
        <v>30</v>
      </c>
    </row>
    <row r="99" customFormat="false" ht="15" hidden="false" customHeight="false" outlineLevel="0" collapsed="false">
      <c r="A99" s="2" t="n">
        <v>97</v>
      </c>
      <c r="B99" s="2" t="n">
        <v>0.5</v>
      </c>
      <c r="C99" s="2" t="n">
        <v>20</v>
      </c>
      <c r="D99" s="2" t="n">
        <v>87.2390825003386</v>
      </c>
      <c r="G99" s="2" t="n">
        <v>87.2271985998377</v>
      </c>
      <c r="H99" s="2" t="n">
        <v>87.2390825003386</v>
      </c>
      <c r="I99" s="2" t="n">
        <v>87.7231697998941</v>
      </c>
      <c r="J99" s="2" t="n">
        <v>87.7231697998941</v>
      </c>
      <c r="K99" s="2" t="n">
        <v>87.7317842999473</v>
      </c>
      <c r="L99" s="2" t="n">
        <v>88.0154135003686</v>
      </c>
      <c r="M99" s="2" t="n">
        <v>88.0247697001323</v>
      </c>
      <c r="N99" s="2" t="s">
        <v>26</v>
      </c>
      <c r="O99" s="2" t="n">
        <v>-20</v>
      </c>
      <c r="P99" s="2" t="n">
        <v>1</v>
      </c>
      <c r="Q99" s="2" t="n">
        <v>1</v>
      </c>
      <c r="R99" s="2" t="n">
        <v>0.297590699978173</v>
      </c>
      <c r="S99" s="2" t="n">
        <v>310387</v>
      </c>
      <c r="T99" s="2" t="n">
        <v>1</v>
      </c>
      <c r="U99" s="2" t="s">
        <v>27</v>
      </c>
      <c r="V99" s="2" t="s">
        <v>28</v>
      </c>
      <c r="X99" s="2" t="s">
        <v>29</v>
      </c>
      <c r="Y99" s="2" t="n">
        <v>120.122861311538</v>
      </c>
      <c r="Z99" s="2" t="s">
        <v>30</v>
      </c>
    </row>
    <row r="100" customFormat="false" ht="15" hidden="false" customHeight="false" outlineLevel="0" collapsed="false">
      <c r="A100" s="2" t="n">
        <v>98</v>
      </c>
      <c r="B100" s="2" t="n">
        <v>0.5</v>
      </c>
      <c r="C100" s="2" t="n">
        <v>20</v>
      </c>
      <c r="D100" s="2" t="n">
        <v>88.0315655004233</v>
      </c>
      <c r="G100" s="2" t="n">
        <v>88.0251313000917</v>
      </c>
      <c r="H100" s="2" t="n">
        <v>88.0315655004233</v>
      </c>
      <c r="I100" s="2" t="n">
        <v>88.5232068998739</v>
      </c>
      <c r="J100" s="2" t="n">
        <v>88.5232068998739</v>
      </c>
      <c r="K100" s="2" t="n">
        <v>88.5232068998739</v>
      </c>
      <c r="L100" s="2" t="n">
        <v>88.8156754001975</v>
      </c>
      <c r="M100" s="2" t="n">
        <v>89.0006037997082</v>
      </c>
      <c r="N100" s="2" t="s">
        <v>26</v>
      </c>
      <c r="O100" s="2" t="n">
        <v>20</v>
      </c>
      <c r="P100" s="2" t="n">
        <v>1</v>
      </c>
      <c r="Q100" s="2" t="n">
        <v>1</v>
      </c>
      <c r="R100" s="2" t="n">
        <v>0.473795699886978</v>
      </c>
      <c r="S100" s="2" t="n">
        <v>310387</v>
      </c>
      <c r="T100" s="2" t="n">
        <v>1</v>
      </c>
      <c r="U100" s="2" t="s">
        <v>27</v>
      </c>
      <c r="V100" s="2" t="s">
        <v>28</v>
      </c>
      <c r="X100" s="2" t="s">
        <v>29</v>
      </c>
      <c r="Y100" s="2" t="n">
        <v>120.122861311538</v>
      </c>
      <c r="Z100" s="2" t="s">
        <v>30</v>
      </c>
    </row>
    <row r="101" customFormat="false" ht="15" hidden="false" customHeight="false" outlineLevel="0" collapsed="false">
      <c r="A101" s="2" t="n">
        <v>99</v>
      </c>
      <c r="B101" s="2" t="n">
        <v>0.5</v>
      </c>
      <c r="C101" s="2" t="n">
        <v>19.5</v>
      </c>
      <c r="D101" s="2" t="n">
        <v>89.0141753004864</v>
      </c>
      <c r="G101" s="2" t="n">
        <v>89.000971400179</v>
      </c>
      <c r="H101" s="2" t="n">
        <v>89.0141753004864</v>
      </c>
      <c r="I101" s="2" t="n">
        <v>89.4986243005842</v>
      </c>
      <c r="J101" s="2" t="n">
        <v>89.4986243005842</v>
      </c>
      <c r="K101" s="2" t="n">
        <v>89.5066020004451</v>
      </c>
      <c r="L101" s="2" t="n">
        <v>89.7903773002327</v>
      </c>
      <c r="M101" s="2" t="n">
        <v>89.8151743002236</v>
      </c>
      <c r="N101" s="2" t="s">
        <v>26</v>
      </c>
      <c r="O101" s="2" t="n">
        <v>19.5</v>
      </c>
      <c r="P101" s="2" t="n">
        <v>0</v>
      </c>
      <c r="Q101" s="2" t="n">
        <v>0</v>
      </c>
      <c r="R101" s="2" t="n">
        <v>0.312288500368595</v>
      </c>
      <c r="S101" s="2" t="n">
        <v>310387</v>
      </c>
      <c r="T101" s="2" t="n">
        <v>1</v>
      </c>
      <c r="U101" s="2" t="s">
        <v>27</v>
      </c>
      <c r="V101" s="2" t="s">
        <v>28</v>
      </c>
      <c r="X101" s="2" t="s">
        <v>29</v>
      </c>
      <c r="Y101" s="2" t="n">
        <v>120.122861311538</v>
      </c>
      <c r="Z101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0" min="10" style="0" width="58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4"/>
  </cols>
  <sheetData>
    <row r="1" customFormat="false" ht="16.15" hidden="false" customHeight="false" outlineLevel="0" collapsed="false">
      <c r="A1" s="4" t="s">
        <v>31</v>
      </c>
    </row>
    <row r="2" customFormat="false" ht="15" hidden="false" customHeight="false" outlineLevel="0" collapsed="false">
      <c r="A2" s="5" t="s">
        <v>32</v>
      </c>
    </row>
    <row r="3" customFormat="false" ht="48" hidden="false" customHeight="true" outlineLevel="0" collapsed="false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J3" s="7" t="s">
        <v>41</v>
      </c>
      <c r="K3" s="7" t="s">
        <v>42</v>
      </c>
    </row>
    <row r="4" customFormat="false" ht="15" hidden="false" customHeight="false" outlineLevel="0" collapsed="false">
      <c r="A4" s="8" t="n">
        <f aca="false">Data!A2+1</f>
        <v>1</v>
      </c>
      <c r="B4" s="8" t="n">
        <f aca="false">Data!C2</f>
        <v>10</v>
      </c>
      <c r="C4" s="8" t="n">
        <f aca="false">Data!O2</f>
        <v>10</v>
      </c>
      <c r="D4" s="8" t="n">
        <f aca="false">Data!Q2</f>
        <v>1</v>
      </c>
      <c r="E4" s="9" t="s">
        <v>26</v>
      </c>
      <c r="F4" s="10" t="n">
        <v>0</v>
      </c>
      <c r="G4" s="10" t="str">
        <f aca="false">IF(F4=1,A4,"")</f>
        <v/>
      </c>
      <c r="H4" s="10" t="n">
        <f aca="false">IF(OR(AND(E4="right",C4&gt;0),AND(E4="left",C4&lt;0)),1,0)</f>
        <v>1</v>
      </c>
      <c r="J4" s="2" t="s">
        <v>43</v>
      </c>
      <c r="K4" s="11" t="n">
        <f aca="false">COUNT(A4:A103)</f>
        <v>100</v>
      </c>
    </row>
    <row r="5" customFormat="false" ht="15" hidden="false" customHeight="false" outlineLevel="0" collapsed="false">
      <c r="A5" s="8" t="n">
        <f aca="false">Data!A3+1</f>
        <v>2</v>
      </c>
      <c r="B5" s="8" t="n">
        <f aca="false">Data!C3</f>
        <v>8</v>
      </c>
      <c r="C5" s="8" t="n">
        <f aca="false">Data!O3</f>
        <v>8</v>
      </c>
      <c r="D5" s="8" t="n">
        <f aca="false">Data!Q3</f>
        <v>1</v>
      </c>
      <c r="E5" s="9" t="s">
        <v>26</v>
      </c>
      <c r="F5" s="10" t="n">
        <f aca="false">IF(AND(D4=1,D5=0),1,0)</f>
        <v>0</v>
      </c>
      <c r="G5" s="10" t="str">
        <f aca="false">IF(F5=1,A5,"")</f>
        <v/>
      </c>
      <c r="H5" s="10" t="n">
        <f aca="false">IF(OR(AND(E5="right",C5&gt;0),AND(E5="left",C5&lt;0)),1,0)</f>
        <v>1</v>
      </c>
      <c r="J5" s="2" t="s">
        <v>44</v>
      </c>
      <c r="K5" s="11" t="n">
        <f aca="false">SUM(F4:F103)</f>
        <v>28</v>
      </c>
    </row>
    <row r="6" customFormat="false" ht="15" hidden="false" customHeight="false" outlineLevel="0" collapsed="false">
      <c r="A6" s="8" t="n">
        <f aca="false">Data!A4+1</f>
        <v>3</v>
      </c>
      <c r="B6" s="8" t="n">
        <f aca="false">Data!C4</f>
        <v>6</v>
      </c>
      <c r="C6" s="8" t="n">
        <f aca="false">Data!O4</f>
        <v>6</v>
      </c>
      <c r="D6" s="8" t="n">
        <f aca="false">Data!Q4</f>
        <v>1</v>
      </c>
      <c r="E6" s="9" t="s">
        <v>26</v>
      </c>
      <c r="F6" s="10" t="n">
        <f aca="false">IF(AND(D5=1,D6=0),1,0)</f>
        <v>0</v>
      </c>
      <c r="G6" s="10" t="str">
        <f aca="false">IF(F6=1,A6,"")</f>
        <v/>
      </c>
      <c r="H6" s="10" t="n">
        <f aca="false">IF(OR(AND(E6="right",C6&gt;0),AND(E6="left",C6&lt;0)),1,0)</f>
        <v>1</v>
      </c>
      <c r="J6" s="2" t="s">
        <v>45</v>
      </c>
      <c r="K6" s="12" t="n">
        <f aca="false">AVERAGE(D4:D103)</f>
        <v>0.5</v>
      </c>
    </row>
    <row r="7" customFormat="false" ht="15" hidden="false" customHeight="false" outlineLevel="0" collapsed="false">
      <c r="A7" s="8" t="n">
        <f aca="false">Data!A5+1</f>
        <v>4</v>
      </c>
      <c r="B7" s="8" t="n">
        <f aca="false">Data!C5</f>
        <v>4</v>
      </c>
      <c r="C7" s="8" t="n">
        <f aca="false">Data!O5</f>
        <v>-4</v>
      </c>
      <c r="D7" s="8" t="n">
        <f aca="false">Data!Q5</f>
        <v>0</v>
      </c>
      <c r="E7" s="9" t="s">
        <v>46</v>
      </c>
      <c r="F7" s="10" t="n">
        <f aca="false">IF(AND(D6=1,D7=0),1,0)</f>
        <v>1</v>
      </c>
      <c r="G7" s="10" t="n">
        <f aca="false">IF(F7=1,A7,"")</f>
        <v>4</v>
      </c>
      <c r="H7" s="10" t="n">
        <f aca="false">IF(OR(AND(E7="right",C7&gt;0),AND(E7="left",C7&lt;0)),1,0)</f>
        <v>1</v>
      </c>
    </row>
    <row r="8" customFormat="false" ht="15" hidden="false" customHeight="false" outlineLevel="0" collapsed="false">
      <c r="A8" s="8" t="n">
        <f aca="false">Data!A6+1</f>
        <v>5</v>
      </c>
      <c r="B8" s="8" t="n">
        <f aca="false">Data!C6</f>
        <v>5</v>
      </c>
      <c r="C8" s="8" t="n">
        <f aca="false">Data!O6</f>
        <v>-5</v>
      </c>
      <c r="D8" s="8" t="n">
        <f aca="false">Data!Q6</f>
        <v>1</v>
      </c>
      <c r="E8" s="9" t="s">
        <v>26</v>
      </c>
      <c r="F8" s="10" t="n">
        <f aca="false">IF(AND(D7=1,D8=0),1,0)</f>
        <v>0</v>
      </c>
      <c r="G8" s="10" t="str">
        <f aca="false">IF(F8=1,A8,"")</f>
        <v/>
      </c>
      <c r="H8" s="10" t="n">
        <f aca="false">IF(OR(AND(E8="right",C8&gt;0),AND(E8="left",C8&lt;0)),1,0)</f>
        <v>0</v>
      </c>
      <c r="J8" s="13" t="s">
        <v>47</v>
      </c>
      <c r="K8" s="13" t="s">
        <v>48</v>
      </c>
      <c r="L8" s="13" t="s">
        <v>34</v>
      </c>
    </row>
    <row r="9" customFormat="false" ht="15" hidden="false" customHeight="false" outlineLevel="0" collapsed="false">
      <c r="A9" s="8" t="n">
        <f aca="false">Data!A7+1</f>
        <v>6</v>
      </c>
      <c r="B9" s="8" t="n">
        <f aca="false">Data!C7</f>
        <v>5</v>
      </c>
      <c r="C9" s="8" t="n">
        <f aca="false">Data!O7</f>
        <v>5</v>
      </c>
      <c r="D9" s="8" t="n">
        <f aca="false">Data!Q7</f>
        <v>0</v>
      </c>
      <c r="E9" s="9" t="s">
        <v>46</v>
      </c>
      <c r="F9" s="10" t="n">
        <f aca="false">IF(AND(D8=1,D9=0),1,0)</f>
        <v>1</v>
      </c>
      <c r="G9" s="10" t="n">
        <f aca="false">IF(F9=1,A9,"")</f>
        <v>6</v>
      </c>
      <c r="H9" s="10" t="n">
        <f aca="false">IF(OR(AND(E9="right",C9&gt;0),AND(E9="left",C9&lt;0)),1,0)</f>
        <v>0</v>
      </c>
      <c r="J9" s="2" t="s">
        <v>49</v>
      </c>
      <c r="K9" s="2" t="n">
        <f aca="false">LARGE($G$4:$G$103,1)</f>
        <v>100</v>
      </c>
      <c r="L9" s="14" t="n">
        <f aca="false">INDEX($B$4:$B$103,MATCH(K9,$A$4:$A$103,0))</f>
        <v>19.5</v>
      </c>
    </row>
    <row r="10" customFormat="false" ht="15" hidden="false" customHeight="false" outlineLevel="0" collapsed="false">
      <c r="A10" s="8" t="n">
        <f aca="false">Data!A8+1</f>
        <v>7</v>
      </c>
      <c r="B10" s="8" t="n">
        <f aca="false">Data!C8</f>
        <v>6</v>
      </c>
      <c r="C10" s="8" t="n">
        <f aca="false">Data!O8</f>
        <v>6</v>
      </c>
      <c r="D10" s="8" t="n">
        <f aca="false">Data!Q8</f>
        <v>1</v>
      </c>
      <c r="E10" s="9" t="s">
        <v>26</v>
      </c>
      <c r="F10" s="10" t="n">
        <f aca="false">IF(AND(D9=1,D10=0),1,0)</f>
        <v>0</v>
      </c>
      <c r="G10" s="10" t="str">
        <f aca="false">IF(F10=1,A10,"")</f>
        <v/>
      </c>
      <c r="H10" s="10" t="n">
        <f aca="false">IF(OR(AND(E10="right",C10&gt;0),AND(E10="left",C10&lt;0)),1,0)</f>
        <v>1</v>
      </c>
      <c r="J10" s="2" t="s">
        <v>50</v>
      </c>
      <c r="K10" s="2" t="n">
        <f aca="false">LARGE($G$4:$G$103,2)</f>
        <v>96</v>
      </c>
      <c r="L10" s="14" t="n">
        <f aca="false">INDEX($B$4:$B$103,MATCH(K10,$A$4:$A$103,0))</f>
        <v>20</v>
      </c>
    </row>
    <row r="11" customFormat="false" ht="15" hidden="false" customHeight="false" outlineLevel="0" collapsed="false">
      <c r="A11" s="8" t="n">
        <f aca="false">Data!A9+1</f>
        <v>8</v>
      </c>
      <c r="B11" s="8" t="n">
        <f aca="false">Data!C9</f>
        <v>6</v>
      </c>
      <c r="C11" s="8" t="n">
        <f aca="false">Data!O9</f>
        <v>-6</v>
      </c>
      <c r="D11" s="8" t="n">
        <f aca="false">Data!Q9</f>
        <v>0</v>
      </c>
      <c r="E11" s="9" t="s">
        <v>46</v>
      </c>
      <c r="F11" s="10" t="n">
        <f aca="false">IF(AND(D10=1,D11=0),1,0)</f>
        <v>1</v>
      </c>
      <c r="G11" s="10" t="n">
        <f aca="false">IF(F11=1,A11,"")</f>
        <v>8</v>
      </c>
      <c r="H11" s="10" t="n">
        <f aca="false">IF(OR(AND(E11="right",C11&gt;0),AND(E11="left",C11&lt;0)),1,0)</f>
        <v>1</v>
      </c>
      <c r="J11" s="2" t="s">
        <v>51</v>
      </c>
      <c r="K11" s="2" t="n">
        <f aca="false">LARGE($G$4:$G$103,3)</f>
        <v>94</v>
      </c>
      <c r="L11" s="14" t="n">
        <f aca="false">INDEX($B$4:$B$103,MATCH(K11,$A$4:$A$103,0))</f>
        <v>20</v>
      </c>
    </row>
    <row r="12" customFormat="false" ht="15" hidden="false" customHeight="false" outlineLevel="0" collapsed="false">
      <c r="A12" s="8" t="n">
        <f aca="false">Data!A10+1</f>
        <v>9</v>
      </c>
      <c r="B12" s="8" t="n">
        <f aca="false">Data!C10</f>
        <v>7</v>
      </c>
      <c r="C12" s="8" t="n">
        <f aca="false">Data!O10</f>
        <v>7</v>
      </c>
      <c r="D12" s="8" t="n">
        <f aca="false">Data!Q10</f>
        <v>1</v>
      </c>
      <c r="E12" s="9" t="s">
        <v>26</v>
      </c>
      <c r="F12" s="10" t="n">
        <f aca="false">IF(AND(D11=1,D12=0),1,0)</f>
        <v>0</v>
      </c>
      <c r="G12" s="10" t="str">
        <f aca="false">IF(F12=1,A12,"")</f>
        <v/>
      </c>
      <c r="H12" s="10" t="n">
        <f aca="false">IF(OR(AND(E12="right",C12&gt;0),AND(E12="left",C12&lt;0)),1,0)</f>
        <v>1</v>
      </c>
      <c r="J12" s="2" t="s">
        <v>52</v>
      </c>
      <c r="K12" s="2" t="n">
        <f aca="false">LARGE($G$4:$G$103,4)</f>
        <v>89</v>
      </c>
      <c r="L12" s="14" t="n">
        <f aca="false">INDEX($B$4:$B$103,MATCH(K12,$A$4:$A$103,0))</f>
        <v>20</v>
      </c>
    </row>
    <row r="13" customFormat="false" ht="15" hidden="false" customHeight="false" outlineLevel="0" collapsed="false">
      <c r="A13" s="8" t="n">
        <f aca="false">Data!A11+1</f>
        <v>10</v>
      </c>
      <c r="B13" s="8" t="n">
        <f aca="false">Data!C11</f>
        <v>7</v>
      </c>
      <c r="C13" s="8" t="n">
        <f aca="false">Data!O11</f>
        <v>7</v>
      </c>
      <c r="D13" s="8" t="n">
        <f aca="false">Data!Q11</f>
        <v>1</v>
      </c>
      <c r="E13" s="9" t="s">
        <v>26</v>
      </c>
      <c r="F13" s="10" t="n">
        <f aca="false">IF(AND(D12=1,D13=0),1,0)</f>
        <v>0</v>
      </c>
      <c r="G13" s="10" t="str">
        <f aca="false">IF(F13=1,A13,"")</f>
        <v/>
      </c>
      <c r="H13" s="10" t="n">
        <f aca="false">IF(OR(AND(E13="right",C13&gt;0),AND(E13="left",C13&lt;0)),1,0)</f>
        <v>1</v>
      </c>
      <c r="J13" s="2" t="s">
        <v>53</v>
      </c>
      <c r="K13" s="2" t="n">
        <f aca="false">LARGE($G$4:$G$103,5)</f>
        <v>84</v>
      </c>
      <c r="L13" s="14" t="n">
        <f aca="false">INDEX($B$4:$B$103,MATCH(K13,$A$4:$A$103,0))</f>
        <v>20</v>
      </c>
    </row>
    <row r="14" customFormat="false" ht="15" hidden="false" customHeight="false" outlineLevel="0" collapsed="false">
      <c r="A14" s="8" t="n">
        <f aca="false">Data!A12+1</f>
        <v>11</v>
      </c>
      <c r="B14" s="8" t="n">
        <f aca="false">Data!C12</f>
        <v>7</v>
      </c>
      <c r="C14" s="8" t="n">
        <f aca="false">Data!O12</f>
        <v>7</v>
      </c>
      <c r="D14" s="8" t="n">
        <f aca="false">Data!Q12</f>
        <v>1</v>
      </c>
      <c r="E14" s="9" t="s">
        <v>26</v>
      </c>
      <c r="F14" s="10" t="n">
        <f aca="false">IF(AND(D13=1,D14=0),1,0)</f>
        <v>0</v>
      </c>
      <c r="G14" s="10" t="str">
        <f aca="false">IF(F14=1,A14,"")</f>
        <v/>
      </c>
      <c r="H14" s="10" t="n">
        <f aca="false">IF(OR(AND(E14="right",C14&gt;0),AND(E14="left",C14&lt;0)),1,0)</f>
        <v>1</v>
      </c>
    </row>
    <row r="15" customFormat="false" ht="15" hidden="false" customHeight="false" outlineLevel="0" collapsed="false">
      <c r="A15" s="8" t="n">
        <f aca="false">Data!A13+1</f>
        <v>12</v>
      </c>
      <c r="B15" s="8" t="n">
        <f aca="false">Data!C13</f>
        <v>6</v>
      </c>
      <c r="C15" s="8" t="n">
        <f aca="false">Data!O13</f>
        <v>-6</v>
      </c>
      <c r="D15" s="8" t="n">
        <f aca="false">Data!Q13</f>
        <v>0</v>
      </c>
      <c r="E15" s="9" t="s">
        <v>46</v>
      </c>
      <c r="F15" s="10" t="n">
        <f aca="false">IF(AND(D14=1,D15=0),1,0)</f>
        <v>1</v>
      </c>
      <c r="G15" s="10" t="n">
        <f aca="false">IF(F15=1,A15,"")</f>
        <v>12</v>
      </c>
      <c r="H15" s="10" t="n">
        <f aca="false">IF(OR(AND(E15="right",C15&gt;0),AND(E15="left",C15&lt;0)),1,0)</f>
        <v>1</v>
      </c>
      <c r="J15" s="13" t="s">
        <v>54</v>
      </c>
      <c r="K15" s="15" t="n">
        <f aca="false">AVERAGE(L9:L13)</f>
        <v>19.9</v>
      </c>
    </row>
    <row r="16" customFormat="false" ht="15" hidden="false" customHeight="false" outlineLevel="0" collapsed="false">
      <c r="A16" s="8" t="n">
        <f aca="false">Data!A14+1</f>
        <v>13</v>
      </c>
      <c r="B16" s="8" t="n">
        <f aca="false">Data!C14</f>
        <v>6.5</v>
      </c>
      <c r="C16" s="8" t="n">
        <f aca="false">Data!O14</f>
        <v>6.5</v>
      </c>
      <c r="D16" s="8" t="n">
        <f aca="false">Data!Q14</f>
        <v>1</v>
      </c>
      <c r="E16" s="9" t="s">
        <v>26</v>
      </c>
      <c r="F16" s="10" t="n">
        <f aca="false">IF(AND(D15=1,D16=0),1,0)</f>
        <v>0</v>
      </c>
      <c r="G16" s="10" t="str">
        <f aca="false">IF(F16=1,A16,"")</f>
        <v/>
      </c>
      <c r="H16" s="10" t="n">
        <f aca="false">IF(OR(AND(E16="right",C16&gt;0),AND(E16="left",C16&lt;0)),1,0)</f>
        <v>1</v>
      </c>
    </row>
    <row r="17" customFormat="false" ht="15" hidden="false" customHeight="false" outlineLevel="0" collapsed="false">
      <c r="A17" s="8" t="n">
        <f aca="false">Data!A15+1</f>
        <v>14</v>
      </c>
      <c r="B17" s="8" t="n">
        <f aca="false">Data!C15</f>
        <v>6.5</v>
      </c>
      <c r="C17" s="8" t="n">
        <f aca="false">Data!O15</f>
        <v>6.5</v>
      </c>
      <c r="D17" s="8" t="n">
        <f aca="false">Data!Q15</f>
        <v>1</v>
      </c>
      <c r="E17" s="9" t="s">
        <v>26</v>
      </c>
      <c r="F17" s="10" t="n">
        <f aca="false">IF(AND(D16=1,D17=0),1,0)</f>
        <v>0</v>
      </c>
      <c r="G17" s="10" t="str">
        <f aca="false">IF(F17=1,A17,"")</f>
        <v/>
      </c>
      <c r="H17" s="10" t="n">
        <f aca="false">IF(OR(AND(E17="right",C17&gt;0),AND(E17="left",C17&lt;0)),1,0)</f>
        <v>1</v>
      </c>
      <c r="J17" s="13" t="s">
        <v>55</v>
      </c>
    </row>
    <row r="18" customFormat="false" ht="15" hidden="false" customHeight="false" outlineLevel="0" collapsed="false">
      <c r="A18" s="8" t="n">
        <f aca="false">Data!A16+1</f>
        <v>15</v>
      </c>
      <c r="B18" s="8" t="n">
        <f aca="false">Data!C16</f>
        <v>6.5</v>
      </c>
      <c r="C18" s="8" t="n">
        <f aca="false">Data!O16</f>
        <v>-6.5</v>
      </c>
      <c r="D18" s="8" t="n">
        <f aca="false">Data!Q16</f>
        <v>0</v>
      </c>
      <c r="E18" s="9" t="s">
        <v>46</v>
      </c>
      <c r="F18" s="10" t="n">
        <f aca="false">IF(AND(D17=1,D18=0),1,0)</f>
        <v>1</v>
      </c>
      <c r="G18" s="10" t="n">
        <f aca="false">IF(F18=1,A18,"")</f>
        <v>15</v>
      </c>
      <c r="H18" s="10" t="n">
        <f aca="false">IF(OR(AND(E18="right",C18&gt;0),AND(E18="left",C18&lt;0)),1,0)</f>
        <v>1</v>
      </c>
      <c r="J18" s="2" t="s">
        <v>56</v>
      </c>
      <c r="K18" s="12" t="n">
        <f aca="false">COUNTIF(E4:E103,"right")/COUNT(A4:A103)</f>
        <v>0.5</v>
      </c>
    </row>
    <row r="19" customFormat="false" ht="15" hidden="false" customHeight="false" outlineLevel="0" collapsed="false">
      <c r="A19" s="8" t="n">
        <f aca="false">Data!A17+1</f>
        <v>16</v>
      </c>
      <c r="B19" s="8" t="n">
        <f aca="false">Data!C17</f>
        <v>7</v>
      </c>
      <c r="C19" s="8" t="n">
        <f aca="false">Data!O17</f>
        <v>-7</v>
      </c>
      <c r="D19" s="8" t="n">
        <f aca="false">Data!Q17</f>
        <v>1</v>
      </c>
      <c r="E19" s="9" t="s">
        <v>26</v>
      </c>
      <c r="F19" s="10" t="n">
        <f aca="false">IF(AND(D18=1,D19=0),1,0)</f>
        <v>0</v>
      </c>
      <c r="G19" s="10" t="str">
        <f aca="false">IF(F19=1,A19,"")</f>
        <v/>
      </c>
      <c r="H19" s="10" t="n">
        <f aca="false">IF(OR(AND(E19="right",C19&gt;0),AND(E19="left",C19&lt;0)),1,0)</f>
        <v>0</v>
      </c>
      <c r="J19" s="2" t="s">
        <v>57</v>
      </c>
      <c r="K19" s="12" t="n">
        <f aca="false">AVERAGE(H4:H103)</f>
        <v>0.88</v>
      </c>
    </row>
    <row r="20" customFormat="false" ht="15" hidden="false" customHeight="false" outlineLevel="0" collapsed="false">
      <c r="A20" s="8" t="n">
        <f aca="false">Data!A18+1</f>
        <v>17</v>
      </c>
      <c r="B20" s="8" t="n">
        <f aca="false">Data!C18</f>
        <v>7</v>
      </c>
      <c r="C20" s="8" t="n">
        <f aca="false">Data!O18</f>
        <v>-7</v>
      </c>
      <c r="D20" s="8" t="n">
        <f aca="false">Data!Q18</f>
        <v>0</v>
      </c>
      <c r="E20" s="9" t="s">
        <v>46</v>
      </c>
      <c r="F20" s="10" t="n">
        <f aca="false">IF(AND(D19=1,D20=0),1,0)</f>
        <v>1</v>
      </c>
      <c r="G20" s="10" t="n">
        <f aca="false">IF(F20=1,A20,"")</f>
        <v>17</v>
      </c>
      <c r="H20" s="10" t="n">
        <f aca="false">IF(OR(AND(E20="right",C20&gt;0),AND(E20="left",C20&lt;0)),1,0)</f>
        <v>1</v>
      </c>
      <c r="J20" s="2" t="s">
        <v>58</v>
      </c>
      <c r="K20" s="16" t="n">
        <f aca="false">AVERAGE(Data!R2:R101)</f>
        <v>0.398737028995529</v>
      </c>
    </row>
    <row r="21" customFormat="false" ht="15" hidden="false" customHeight="false" outlineLevel="0" collapsed="false">
      <c r="A21" s="8" t="n">
        <f aca="false">Data!A19+1</f>
        <v>18</v>
      </c>
      <c r="B21" s="8" t="n">
        <f aca="false">Data!C19</f>
        <v>7.5</v>
      </c>
      <c r="C21" s="8" t="n">
        <f aca="false">Data!O19</f>
        <v>7.5</v>
      </c>
      <c r="D21" s="8" t="n">
        <f aca="false">Data!Q19</f>
        <v>1</v>
      </c>
      <c r="E21" s="9" t="s">
        <v>26</v>
      </c>
      <c r="F21" s="10" t="n">
        <f aca="false">IF(AND(D20=1,D21=0),1,0)</f>
        <v>0</v>
      </c>
      <c r="G21" s="10" t="str">
        <f aca="false">IF(F21=1,A21,"")</f>
        <v/>
      </c>
      <c r="H21" s="10" t="n">
        <f aca="false">IF(OR(AND(E21="right",C21&gt;0),AND(E21="left",C21&lt;0)),1,0)</f>
        <v>1</v>
      </c>
      <c r="J21" s="2" t="s">
        <v>59</v>
      </c>
      <c r="K21" s="14" t="n">
        <f aca="false">MAX(B4:B103)</f>
        <v>20</v>
      </c>
    </row>
    <row r="22" customFormat="false" ht="15" hidden="false" customHeight="false" outlineLevel="0" collapsed="false">
      <c r="A22" s="8" t="n">
        <f aca="false">Data!A20+1</f>
        <v>19</v>
      </c>
      <c r="B22" s="8" t="n">
        <f aca="false">Data!C20</f>
        <v>7.5</v>
      </c>
      <c r="C22" s="8" t="n">
        <f aca="false">Data!O20</f>
        <v>-7.5</v>
      </c>
      <c r="D22" s="8" t="n">
        <f aca="false">Data!Q20</f>
        <v>0</v>
      </c>
      <c r="E22" s="9" t="s">
        <v>46</v>
      </c>
      <c r="F22" s="10" t="n">
        <f aca="false">IF(AND(D21=1,D22=0),1,0)</f>
        <v>1</v>
      </c>
      <c r="G22" s="10" t="n">
        <f aca="false">IF(F22=1,A22,"")</f>
        <v>19</v>
      </c>
      <c r="H22" s="10" t="n">
        <f aca="false">IF(OR(AND(E22="right",C22&gt;0),AND(E22="left",C22&lt;0)),1,0)</f>
        <v>1</v>
      </c>
      <c r="J22" s="2" t="s">
        <v>60</v>
      </c>
      <c r="K22" s="11" t="n">
        <f aca="false">COUNTIF(B4:B103,MAX(B4:B103))</f>
        <v>32</v>
      </c>
    </row>
    <row r="23" customFormat="false" ht="15" hidden="false" customHeight="false" outlineLevel="0" collapsed="false">
      <c r="A23" s="8" t="n">
        <f aca="false">Data!A21+1</f>
        <v>20</v>
      </c>
      <c r="B23" s="8" t="n">
        <f aca="false">Data!C21</f>
        <v>8</v>
      </c>
      <c r="C23" s="8" t="n">
        <f aca="false">Data!O21</f>
        <v>-8</v>
      </c>
      <c r="D23" s="8" t="n">
        <f aca="false">Data!Q21</f>
        <v>1</v>
      </c>
      <c r="E23" s="9" t="s">
        <v>26</v>
      </c>
      <c r="F23" s="10" t="n">
        <f aca="false">IF(AND(D22=1,D23=0),1,0)</f>
        <v>0</v>
      </c>
      <c r="G23" s="10" t="str">
        <f aca="false">IF(F23=1,A23,"")</f>
        <v/>
      </c>
      <c r="H23" s="10" t="n">
        <f aca="false">IF(OR(AND(E23="right",C23&gt;0),AND(E23="left",C23&lt;0)),1,0)</f>
        <v>0</v>
      </c>
    </row>
    <row r="24" customFormat="false" ht="15" hidden="false" customHeight="false" outlineLevel="0" collapsed="false">
      <c r="A24" s="8" t="n">
        <f aca="false">Data!A22+1</f>
        <v>21</v>
      </c>
      <c r="B24" s="8" t="n">
        <f aca="false">Data!C22</f>
        <v>8</v>
      </c>
      <c r="C24" s="8" t="n">
        <f aca="false">Data!O22</f>
        <v>8</v>
      </c>
      <c r="D24" s="8" t="n">
        <f aca="false">Data!Q22</f>
        <v>1</v>
      </c>
      <c r="E24" s="9" t="s">
        <v>26</v>
      </c>
      <c r="F24" s="10" t="n">
        <f aca="false">IF(AND(D23=1,D24=0),1,0)</f>
        <v>0</v>
      </c>
      <c r="G24" s="10" t="str">
        <f aca="false">IF(F24=1,A24,"")</f>
        <v/>
      </c>
      <c r="H24" s="10" t="n">
        <f aca="false">IF(OR(AND(E24="right",C24&gt;0),AND(E24="left",C24&lt;0)),1,0)</f>
        <v>1</v>
      </c>
      <c r="J24" s="13" t="s">
        <v>61</v>
      </c>
    </row>
    <row r="25" customFormat="false" ht="15" hidden="false" customHeight="false" outlineLevel="0" collapsed="false">
      <c r="A25" s="8" t="n">
        <f aca="false">Data!A23+1</f>
        <v>22</v>
      </c>
      <c r="B25" s="8" t="n">
        <f aca="false">Data!C23</f>
        <v>8</v>
      </c>
      <c r="C25" s="8" t="n">
        <f aca="false">Data!O23</f>
        <v>-8</v>
      </c>
      <c r="D25" s="8" t="n">
        <f aca="false">Data!Q23</f>
        <v>0</v>
      </c>
      <c r="E25" s="9" t="s">
        <v>46</v>
      </c>
      <c r="F25" s="10" t="n">
        <f aca="false">IF(AND(D24=1,D25=0),1,0)</f>
        <v>1</v>
      </c>
      <c r="G25" s="10" t="n">
        <f aca="false">IF(F25=1,A25,"")</f>
        <v>22</v>
      </c>
      <c r="H25" s="10" t="n">
        <f aca="false">IF(OR(AND(E25="right",C25&gt;0),AND(E25="left",C25&lt;0)),1,0)</f>
        <v>1</v>
      </c>
      <c r="J25" s="5" t="s">
        <v>62</v>
      </c>
    </row>
    <row r="26" customFormat="false" ht="15" hidden="false" customHeight="false" outlineLevel="0" collapsed="false">
      <c r="A26" s="8" t="n">
        <f aca="false">Data!A24+1</f>
        <v>23</v>
      </c>
      <c r="B26" s="8" t="n">
        <f aca="false">Data!C24</f>
        <v>8.5</v>
      </c>
      <c r="C26" s="8" t="n">
        <f aca="false">Data!O24</f>
        <v>8.5</v>
      </c>
      <c r="D26" s="8" t="n">
        <f aca="false">Data!Q24</f>
        <v>1</v>
      </c>
      <c r="E26" s="9" t="s">
        <v>26</v>
      </c>
      <c r="F26" s="10" t="n">
        <f aca="false">IF(AND(D25=1,D26=0),1,0)</f>
        <v>0</v>
      </c>
      <c r="G26" s="10" t="str">
        <f aca="false">IF(F26=1,A26,"")</f>
        <v/>
      </c>
      <c r="H26" s="10" t="n">
        <f aca="false">IF(OR(AND(E26="right",C26&gt;0),AND(E26="left",C26&lt;0)),1,0)</f>
        <v>1</v>
      </c>
      <c r="J26" s="5" t="s">
        <v>63</v>
      </c>
    </row>
    <row r="27" customFormat="false" ht="15" hidden="false" customHeight="false" outlineLevel="0" collapsed="false">
      <c r="A27" s="8" t="n">
        <f aca="false">Data!A25+1</f>
        <v>24</v>
      </c>
      <c r="B27" s="8" t="n">
        <f aca="false">Data!C25</f>
        <v>8.5</v>
      </c>
      <c r="C27" s="8" t="n">
        <f aca="false">Data!O25</f>
        <v>8.5</v>
      </c>
      <c r="D27" s="8" t="n">
        <f aca="false">Data!Q25</f>
        <v>1</v>
      </c>
      <c r="E27" s="9" t="s">
        <v>26</v>
      </c>
      <c r="F27" s="10" t="n">
        <f aca="false">IF(AND(D26=1,D27=0),1,0)</f>
        <v>0</v>
      </c>
      <c r="G27" s="10" t="str">
        <f aca="false">IF(F27=1,A27,"")</f>
        <v/>
      </c>
      <c r="H27" s="10" t="n">
        <f aca="false">IF(OR(AND(E27="right",C27&gt;0),AND(E27="left",C27&lt;0)),1,0)</f>
        <v>1</v>
      </c>
      <c r="J27" s="5" t="s">
        <v>64</v>
      </c>
    </row>
    <row r="28" customFormat="false" ht="15" hidden="false" customHeight="false" outlineLevel="0" collapsed="false">
      <c r="A28" s="8" t="n">
        <f aca="false">Data!A26+1</f>
        <v>25</v>
      </c>
      <c r="B28" s="8" t="n">
        <f aca="false">Data!C26</f>
        <v>8.5</v>
      </c>
      <c r="C28" s="8" t="n">
        <f aca="false">Data!O26</f>
        <v>-8.5</v>
      </c>
      <c r="D28" s="8" t="n">
        <f aca="false">Data!Q26</f>
        <v>0</v>
      </c>
      <c r="E28" s="9" t="s">
        <v>46</v>
      </c>
      <c r="F28" s="10" t="n">
        <f aca="false">IF(AND(D27=1,D28=0),1,0)</f>
        <v>1</v>
      </c>
      <c r="G28" s="10" t="n">
        <f aca="false">IF(F28=1,A28,"")</f>
        <v>25</v>
      </c>
      <c r="H28" s="10" t="n">
        <f aca="false">IF(OR(AND(E28="right",C28&gt;0),AND(E28="left",C28&lt;0)),1,0)</f>
        <v>1</v>
      </c>
      <c r="J28" s="5" t="s">
        <v>65</v>
      </c>
    </row>
    <row r="29" customFormat="false" ht="15" hidden="false" customHeight="false" outlineLevel="0" collapsed="false">
      <c r="A29" s="8" t="n">
        <f aca="false">Data!A27+1</f>
        <v>26</v>
      </c>
      <c r="B29" s="8" t="n">
        <f aca="false">Data!C27</f>
        <v>9</v>
      </c>
      <c r="C29" s="8" t="n">
        <f aca="false">Data!O27</f>
        <v>-9</v>
      </c>
      <c r="D29" s="8" t="n">
        <f aca="false">Data!Q27</f>
        <v>1</v>
      </c>
      <c r="E29" s="9" t="s">
        <v>26</v>
      </c>
      <c r="F29" s="10" t="n">
        <f aca="false">IF(AND(D28=1,D29=0),1,0)</f>
        <v>0</v>
      </c>
      <c r="G29" s="10" t="str">
        <f aca="false">IF(F29=1,A29,"")</f>
        <v/>
      </c>
      <c r="H29" s="10" t="n">
        <f aca="false">IF(OR(AND(E29="right",C29&gt;0),AND(E29="left",C29&lt;0)),1,0)</f>
        <v>0</v>
      </c>
    </row>
    <row r="30" customFormat="false" ht="15" hidden="false" customHeight="false" outlineLevel="0" collapsed="false">
      <c r="A30" s="8" t="n">
        <f aca="false">Data!A28+1</f>
        <v>27</v>
      </c>
      <c r="B30" s="8" t="n">
        <f aca="false">Data!C28</f>
        <v>9</v>
      </c>
      <c r="C30" s="8" t="n">
        <f aca="false">Data!O28</f>
        <v>9</v>
      </c>
      <c r="D30" s="8" t="n">
        <f aca="false">Data!Q28</f>
        <v>1</v>
      </c>
      <c r="E30" s="9" t="s">
        <v>26</v>
      </c>
      <c r="F30" s="10" t="n">
        <f aca="false">IF(AND(D29=1,D30=0),1,0)</f>
        <v>0</v>
      </c>
      <c r="G30" s="10" t="str">
        <f aca="false">IF(F30=1,A30,"")</f>
        <v/>
      </c>
      <c r="H30" s="10" t="n">
        <f aca="false">IF(OR(AND(E30="right",C30&gt;0),AND(E30="left",C30&lt;0)),1,0)</f>
        <v>1</v>
      </c>
    </row>
    <row r="31" customFormat="false" ht="15" hidden="false" customHeight="false" outlineLevel="0" collapsed="false">
      <c r="A31" s="8" t="n">
        <f aca="false">Data!A29+1</f>
        <v>28</v>
      </c>
      <c r="B31" s="8" t="n">
        <f aca="false">Data!C29</f>
        <v>9</v>
      </c>
      <c r="C31" s="8" t="n">
        <f aca="false">Data!O29</f>
        <v>9</v>
      </c>
      <c r="D31" s="8" t="n">
        <f aca="false">Data!Q29</f>
        <v>1</v>
      </c>
      <c r="E31" s="9" t="s">
        <v>26</v>
      </c>
      <c r="F31" s="10" t="n">
        <f aca="false">IF(AND(D30=1,D31=0),1,0)</f>
        <v>0</v>
      </c>
      <c r="G31" s="10" t="str">
        <f aca="false">IF(F31=1,A31,"")</f>
        <v/>
      </c>
      <c r="H31" s="10" t="n">
        <f aca="false">IF(OR(AND(E31="right",C31&gt;0),AND(E31="left",C31&lt;0)),1,0)</f>
        <v>1</v>
      </c>
    </row>
    <row r="32" customFormat="false" ht="15" hidden="false" customHeight="false" outlineLevel="0" collapsed="false">
      <c r="A32" s="8" t="n">
        <f aca="false">Data!A30+1</f>
        <v>29</v>
      </c>
      <c r="B32" s="8" t="n">
        <f aca="false">Data!C30</f>
        <v>8.5</v>
      </c>
      <c r="C32" s="8" t="n">
        <f aca="false">Data!O30</f>
        <v>-8.5</v>
      </c>
      <c r="D32" s="8" t="n">
        <f aca="false">Data!Q30</f>
        <v>0</v>
      </c>
      <c r="E32" s="9" t="s">
        <v>46</v>
      </c>
      <c r="F32" s="10" t="n">
        <f aca="false">IF(AND(D31=1,D32=0),1,0)</f>
        <v>1</v>
      </c>
      <c r="G32" s="10" t="n">
        <f aca="false">IF(F32=1,A32,"")</f>
        <v>29</v>
      </c>
      <c r="H32" s="10" t="n">
        <f aca="false">IF(OR(AND(E32="right",C32&gt;0),AND(E32="left",C32&lt;0)),1,0)</f>
        <v>1</v>
      </c>
    </row>
    <row r="33" customFormat="false" ht="15" hidden="false" customHeight="false" outlineLevel="0" collapsed="false">
      <c r="A33" s="8" t="n">
        <f aca="false">Data!A31+1</f>
        <v>30</v>
      </c>
      <c r="B33" s="8" t="n">
        <f aca="false">Data!C31</f>
        <v>9</v>
      </c>
      <c r="C33" s="8" t="n">
        <f aca="false">Data!O31</f>
        <v>-9</v>
      </c>
      <c r="D33" s="8" t="n">
        <f aca="false">Data!Q31</f>
        <v>1</v>
      </c>
      <c r="E33" s="9" t="s">
        <v>26</v>
      </c>
      <c r="F33" s="10" t="n">
        <f aca="false">IF(AND(D32=1,D33=0),1,0)</f>
        <v>0</v>
      </c>
      <c r="G33" s="10" t="str">
        <f aca="false">IF(F33=1,A33,"")</f>
        <v/>
      </c>
      <c r="H33" s="10" t="n">
        <f aca="false">IF(OR(AND(E33="right",C33&gt;0),AND(E33="left",C33&lt;0)),1,0)</f>
        <v>0</v>
      </c>
    </row>
    <row r="34" customFormat="false" ht="15" hidden="false" customHeight="false" outlineLevel="0" collapsed="false">
      <c r="A34" s="8" t="n">
        <f aca="false">Data!A32+1</f>
        <v>31</v>
      </c>
      <c r="B34" s="8" t="n">
        <f aca="false">Data!C32</f>
        <v>9</v>
      </c>
      <c r="C34" s="8" t="n">
        <f aca="false">Data!O32</f>
        <v>-9</v>
      </c>
      <c r="D34" s="8" t="n">
        <f aca="false">Data!Q32</f>
        <v>0</v>
      </c>
      <c r="E34" s="9" t="s">
        <v>46</v>
      </c>
      <c r="F34" s="10" t="n">
        <f aca="false">IF(AND(D33=1,D34=0),1,0)</f>
        <v>1</v>
      </c>
      <c r="G34" s="10" t="n">
        <f aca="false">IF(F34=1,A34,"")</f>
        <v>31</v>
      </c>
      <c r="H34" s="10" t="n">
        <f aca="false">IF(OR(AND(E34="right",C34&gt;0),AND(E34="left",C34&lt;0)),1,0)</f>
        <v>1</v>
      </c>
    </row>
    <row r="35" customFormat="false" ht="15" hidden="false" customHeight="false" outlineLevel="0" collapsed="false">
      <c r="A35" s="8" t="n">
        <f aca="false">Data!A33+1</f>
        <v>32</v>
      </c>
      <c r="B35" s="8" t="n">
        <f aca="false">Data!C33</f>
        <v>9.5</v>
      </c>
      <c r="C35" s="8" t="n">
        <f aca="false">Data!O33</f>
        <v>-9.5</v>
      </c>
      <c r="D35" s="8" t="n">
        <f aca="false">Data!Q33</f>
        <v>0</v>
      </c>
      <c r="E35" s="9" t="s">
        <v>46</v>
      </c>
      <c r="F35" s="10" t="n">
        <f aca="false">IF(AND(D34=1,D35=0),1,0)</f>
        <v>0</v>
      </c>
      <c r="G35" s="10" t="str">
        <f aca="false">IF(F35=1,A35,"")</f>
        <v/>
      </c>
      <c r="H35" s="10" t="n">
        <f aca="false">IF(OR(AND(E35="right",C35&gt;0),AND(E35="left",C35&lt;0)),1,0)</f>
        <v>1</v>
      </c>
    </row>
    <row r="36" customFormat="false" ht="15" hidden="false" customHeight="false" outlineLevel="0" collapsed="false">
      <c r="A36" s="8" t="n">
        <f aca="false">Data!A34+1</f>
        <v>33</v>
      </c>
      <c r="B36" s="8" t="n">
        <f aca="false">Data!C34</f>
        <v>10</v>
      </c>
      <c r="C36" s="8" t="n">
        <f aca="false">Data!O34</f>
        <v>10</v>
      </c>
      <c r="D36" s="8" t="n">
        <f aca="false">Data!Q34</f>
        <v>1</v>
      </c>
      <c r="E36" s="9" t="s">
        <v>26</v>
      </c>
      <c r="F36" s="10" t="n">
        <f aca="false">IF(AND(D35=1,D36=0),1,0)</f>
        <v>0</v>
      </c>
      <c r="G36" s="10" t="str">
        <f aca="false">IF(F36=1,A36,"")</f>
        <v/>
      </c>
      <c r="H36" s="10" t="n">
        <f aca="false">IF(OR(AND(E36="right",C36&gt;0),AND(E36="left",C36&lt;0)),1,0)</f>
        <v>1</v>
      </c>
    </row>
    <row r="37" customFormat="false" ht="15" hidden="false" customHeight="false" outlineLevel="0" collapsed="false">
      <c r="A37" s="8" t="n">
        <f aca="false">Data!A35+1</f>
        <v>34</v>
      </c>
      <c r="B37" s="8" t="n">
        <f aca="false">Data!C35</f>
        <v>10</v>
      </c>
      <c r="C37" s="8" t="n">
        <f aca="false">Data!O35</f>
        <v>-10</v>
      </c>
      <c r="D37" s="8" t="n">
        <f aca="false">Data!Q35</f>
        <v>0</v>
      </c>
      <c r="E37" s="9" t="s">
        <v>46</v>
      </c>
      <c r="F37" s="10" t="n">
        <f aca="false">IF(AND(D36=1,D37=0),1,0)</f>
        <v>1</v>
      </c>
      <c r="G37" s="10" t="n">
        <f aca="false">IF(F37=1,A37,"")</f>
        <v>34</v>
      </c>
      <c r="H37" s="10" t="n">
        <f aca="false">IF(OR(AND(E37="right",C37&gt;0),AND(E37="left",C37&lt;0)),1,0)</f>
        <v>1</v>
      </c>
    </row>
    <row r="38" customFormat="false" ht="15" hidden="false" customHeight="false" outlineLevel="0" collapsed="false">
      <c r="A38" s="8" t="n">
        <f aca="false">Data!A36+1</f>
        <v>35</v>
      </c>
      <c r="B38" s="8" t="n">
        <f aca="false">Data!C36</f>
        <v>10.5</v>
      </c>
      <c r="C38" s="8" t="n">
        <f aca="false">Data!O36</f>
        <v>-10.5</v>
      </c>
      <c r="D38" s="8" t="n">
        <f aca="false">Data!Q36</f>
        <v>0</v>
      </c>
      <c r="E38" s="9" t="s">
        <v>46</v>
      </c>
      <c r="F38" s="10" t="n">
        <f aca="false">IF(AND(D37=1,D38=0),1,0)</f>
        <v>0</v>
      </c>
      <c r="G38" s="10" t="str">
        <f aca="false">IF(F38=1,A38,"")</f>
        <v/>
      </c>
      <c r="H38" s="10" t="n">
        <f aca="false">IF(OR(AND(E38="right",C38&gt;0),AND(E38="left",C38&lt;0)),1,0)</f>
        <v>1</v>
      </c>
    </row>
    <row r="39" customFormat="false" ht="15" hidden="false" customHeight="false" outlineLevel="0" collapsed="false">
      <c r="A39" s="8" t="n">
        <f aca="false">Data!A37+1</f>
        <v>36</v>
      </c>
      <c r="B39" s="8" t="n">
        <f aca="false">Data!C37</f>
        <v>11</v>
      </c>
      <c r="C39" s="8" t="n">
        <f aca="false">Data!O37</f>
        <v>-11</v>
      </c>
      <c r="D39" s="8" t="n">
        <f aca="false">Data!Q37</f>
        <v>0</v>
      </c>
      <c r="E39" s="9" t="s">
        <v>46</v>
      </c>
      <c r="F39" s="10" t="n">
        <f aca="false">IF(AND(D38=1,D39=0),1,0)</f>
        <v>0</v>
      </c>
      <c r="G39" s="10" t="str">
        <f aca="false">IF(F39=1,A39,"")</f>
        <v/>
      </c>
      <c r="H39" s="10" t="n">
        <f aca="false">IF(OR(AND(E39="right",C39&gt;0),AND(E39="left",C39&lt;0)),1,0)</f>
        <v>1</v>
      </c>
    </row>
    <row r="40" customFormat="false" ht="15" hidden="false" customHeight="false" outlineLevel="0" collapsed="false">
      <c r="A40" s="8" t="n">
        <f aca="false">Data!A38+1</f>
        <v>37</v>
      </c>
      <c r="B40" s="8" t="n">
        <f aca="false">Data!C38</f>
        <v>11.5</v>
      </c>
      <c r="C40" s="8" t="n">
        <f aca="false">Data!O38</f>
        <v>-11.5</v>
      </c>
      <c r="D40" s="8" t="n">
        <f aca="false">Data!Q38</f>
        <v>0</v>
      </c>
      <c r="E40" s="9" t="s">
        <v>46</v>
      </c>
      <c r="F40" s="10" t="n">
        <f aca="false">IF(AND(D39=1,D40=0),1,0)</f>
        <v>0</v>
      </c>
      <c r="G40" s="10" t="str">
        <f aca="false">IF(F40=1,A40,"")</f>
        <v/>
      </c>
      <c r="H40" s="10" t="n">
        <f aca="false">IF(OR(AND(E40="right",C40&gt;0),AND(E40="left",C40&lt;0)),1,0)</f>
        <v>1</v>
      </c>
    </row>
    <row r="41" customFormat="false" ht="15" hidden="false" customHeight="false" outlineLevel="0" collapsed="false">
      <c r="A41" s="8" t="n">
        <f aca="false">Data!A39+1</f>
        <v>38</v>
      </c>
      <c r="B41" s="8" t="n">
        <f aca="false">Data!C39</f>
        <v>12</v>
      </c>
      <c r="C41" s="8" t="n">
        <f aca="false">Data!O39</f>
        <v>12</v>
      </c>
      <c r="D41" s="8" t="n">
        <f aca="false">Data!Q39</f>
        <v>0</v>
      </c>
      <c r="E41" s="9" t="s">
        <v>46</v>
      </c>
      <c r="F41" s="10" t="n">
        <f aca="false">IF(AND(D40=1,D41=0),1,0)</f>
        <v>0</v>
      </c>
      <c r="G41" s="10" t="str">
        <f aca="false">IF(F41=1,A41,"")</f>
        <v/>
      </c>
      <c r="H41" s="10" t="n">
        <f aca="false">IF(OR(AND(E41="right",C41&gt;0),AND(E41="left",C41&lt;0)),1,0)</f>
        <v>0</v>
      </c>
    </row>
    <row r="42" customFormat="false" ht="15" hidden="false" customHeight="false" outlineLevel="0" collapsed="false">
      <c r="A42" s="8" t="n">
        <f aca="false">Data!A40+1</f>
        <v>39</v>
      </c>
      <c r="B42" s="8" t="n">
        <f aca="false">Data!C40</f>
        <v>12.5</v>
      </c>
      <c r="C42" s="8" t="n">
        <f aca="false">Data!O40</f>
        <v>-12.5</v>
      </c>
      <c r="D42" s="8" t="n">
        <f aca="false">Data!Q40</f>
        <v>0</v>
      </c>
      <c r="E42" s="9" t="s">
        <v>46</v>
      </c>
      <c r="F42" s="10" t="n">
        <f aca="false">IF(AND(D41=1,D42=0),1,0)</f>
        <v>0</v>
      </c>
      <c r="G42" s="10" t="str">
        <f aca="false">IF(F42=1,A42,"")</f>
        <v/>
      </c>
      <c r="H42" s="10" t="n">
        <f aca="false">IF(OR(AND(E42="right",C42&gt;0),AND(E42="left",C42&lt;0)),1,0)</f>
        <v>1</v>
      </c>
    </row>
    <row r="43" customFormat="false" ht="15" hidden="false" customHeight="false" outlineLevel="0" collapsed="false">
      <c r="A43" s="8" t="n">
        <f aca="false">Data!A41+1</f>
        <v>40</v>
      </c>
      <c r="B43" s="8" t="n">
        <f aca="false">Data!C41</f>
        <v>13</v>
      </c>
      <c r="C43" s="8" t="n">
        <f aca="false">Data!O41</f>
        <v>-13</v>
      </c>
      <c r="D43" s="8" t="n">
        <f aca="false">Data!Q41</f>
        <v>0</v>
      </c>
      <c r="E43" s="9" t="s">
        <v>46</v>
      </c>
      <c r="F43" s="10" t="n">
        <f aca="false">IF(AND(D42=1,D43=0),1,0)</f>
        <v>0</v>
      </c>
      <c r="G43" s="10" t="str">
        <f aca="false">IF(F43=1,A43,"")</f>
        <v/>
      </c>
      <c r="H43" s="10" t="n">
        <f aca="false">IF(OR(AND(E43="right",C43&gt;0),AND(E43="left",C43&lt;0)),1,0)</f>
        <v>1</v>
      </c>
    </row>
    <row r="44" customFormat="false" ht="15" hidden="false" customHeight="false" outlineLevel="0" collapsed="false">
      <c r="A44" s="8" t="n">
        <f aca="false">Data!A42+1</f>
        <v>41</v>
      </c>
      <c r="B44" s="8" t="n">
        <f aca="false">Data!C42</f>
        <v>13.5</v>
      </c>
      <c r="C44" s="8" t="n">
        <f aca="false">Data!O42</f>
        <v>-13.5</v>
      </c>
      <c r="D44" s="8" t="n">
        <f aca="false">Data!Q42</f>
        <v>0</v>
      </c>
      <c r="E44" s="9" t="s">
        <v>46</v>
      </c>
      <c r="F44" s="10" t="n">
        <f aca="false">IF(AND(D43=1,D44=0),1,0)</f>
        <v>0</v>
      </c>
      <c r="G44" s="10" t="str">
        <f aca="false">IF(F44=1,A44,"")</f>
        <v/>
      </c>
      <c r="H44" s="10" t="n">
        <f aca="false">IF(OR(AND(E44="right",C44&gt;0),AND(E44="left",C44&lt;0)),1,0)</f>
        <v>1</v>
      </c>
    </row>
    <row r="45" customFormat="false" ht="15" hidden="false" customHeight="false" outlineLevel="0" collapsed="false">
      <c r="A45" s="8" t="n">
        <f aca="false">Data!A43+1</f>
        <v>42</v>
      </c>
      <c r="B45" s="8" t="n">
        <f aca="false">Data!C43</f>
        <v>14</v>
      </c>
      <c r="C45" s="8" t="n">
        <f aca="false">Data!O43</f>
        <v>-14</v>
      </c>
      <c r="D45" s="8" t="n">
        <f aca="false">Data!Q43</f>
        <v>0</v>
      </c>
      <c r="E45" s="9" t="s">
        <v>46</v>
      </c>
      <c r="F45" s="10" t="n">
        <f aca="false">IF(AND(D44=1,D45=0),1,0)</f>
        <v>0</v>
      </c>
      <c r="G45" s="10" t="str">
        <f aca="false">IF(F45=1,A45,"")</f>
        <v/>
      </c>
      <c r="H45" s="10" t="n">
        <f aca="false">IF(OR(AND(E45="right",C45&gt;0),AND(E45="left",C45&lt;0)),1,0)</f>
        <v>1</v>
      </c>
    </row>
    <row r="46" customFormat="false" ht="15" hidden="false" customHeight="false" outlineLevel="0" collapsed="false">
      <c r="A46" s="8" t="n">
        <f aca="false">Data!A44+1</f>
        <v>43</v>
      </c>
      <c r="B46" s="8" t="n">
        <f aca="false">Data!C44</f>
        <v>14.5</v>
      </c>
      <c r="C46" s="8" t="n">
        <f aca="false">Data!O44</f>
        <v>14.5</v>
      </c>
      <c r="D46" s="8" t="n">
        <f aca="false">Data!Q44</f>
        <v>1</v>
      </c>
      <c r="E46" s="9" t="s">
        <v>26</v>
      </c>
      <c r="F46" s="10" t="n">
        <f aca="false">IF(AND(D45=1,D46=0),1,0)</f>
        <v>0</v>
      </c>
      <c r="G46" s="10" t="str">
        <f aca="false">IF(F46=1,A46,"")</f>
        <v/>
      </c>
      <c r="H46" s="10" t="n">
        <f aca="false">IF(OR(AND(E46="right",C46&gt;0),AND(E46="left",C46&lt;0)),1,0)</f>
        <v>1</v>
      </c>
    </row>
    <row r="47" customFormat="false" ht="15" hidden="false" customHeight="false" outlineLevel="0" collapsed="false">
      <c r="A47" s="8" t="n">
        <f aca="false">Data!A45+1</f>
        <v>44</v>
      </c>
      <c r="B47" s="8" t="n">
        <f aca="false">Data!C45</f>
        <v>14.5</v>
      </c>
      <c r="C47" s="8" t="n">
        <f aca="false">Data!O45</f>
        <v>-14.5</v>
      </c>
      <c r="D47" s="8" t="n">
        <f aca="false">Data!Q45</f>
        <v>0</v>
      </c>
      <c r="E47" s="9" t="s">
        <v>46</v>
      </c>
      <c r="F47" s="10" t="n">
        <f aca="false">IF(AND(D46=1,D47=0),1,0)</f>
        <v>1</v>
      </c>
      <c r="G47" s="10" t="n">
        <f aca="false">IF(F47=1,A47,"")</f>
        <v>44</v>
      </c>
      <c r="H47" s="10" t="n">
        <f aca="false">IF(OR(AND(E47="right",C47&gt;0),AND(E47="left",C47&lt;0)),1,0)</f>
        <v>1</v>
      </c>
    </row>
    <row r="48" customFormat="false" ht="15" hidden="false" customHeight="false" outlineLevel="0" collapsed="false">
      <c r="A48" s="8" t="n">
        <f aca="false">Data!A46+1</f>
        <v>45</v>
      </c>
      <c r="B48" s="8" t="n">
        <f aca="false">Data!C46</f>
        <v>15</v>
      </c>
      <c r="C48" s="8" t="n">
        <f aca="false">Data!O46</f>
        <v>15</v>
      </c>
      <c r="D48" s="8" t="n">
        <f aca="false">Data!Q46</f>
        <v>1</v>
      </c>
      <c r="E48" s="9" t="s">
        <v>26</v>
      </c>
      <c r="F48" s="10" t="n">
        <f aca="false">IF(AND(D47=1,D48=0),1,0)</f>
        <v>0</v>
      </c>
      <c r="G48" s="10" t="str">
        <f aca="false">IF(F48=1,A48,"")</f>
        <v/>
      </c>
      <c r="H48" s="10" t="n">
        <f aca="false">IF(OR(AND(E48="right",C48&gt;0),AND(E48="left",C48&lt;0)),1,0)</f>
        <v>1</v>
      </c>
    </row>
    <row r="49" customFormat="false" ht="15" hidden="false" customHeight="false" outlineLevel="0" collapsed="false">
      <c r="A49" s="8" t="n">
        <f aca="false">Data!A47+1</f>
        <v>46</v>
      </c>
      <c r="B49" s="8" t="n">
        <f aca="false">Data!C47</f>
        <v>15</v>
      </c>
      <c r="C49" s="8" t="n">
        <f aca="false">Data!O47</f>
        <v>-15</v>
      </c>
      <c r="D49" s="8" t="n">
        <f aca="false">Data!Q47</f>
        <v>0</v>
      </c>
      <c r="E49" s="9" t="s">
        <v>46</v>
      </c>
      <c r="F49" s="10" t="n">
        <f aca="false">IF(AND(D48=1,D49=0),1,0)</f>
        <v>1</v>
      </c>
      <c r="G49" s="10" t="n">
        <f aca="false">IF(F49=1,A49,"")</f>
        <v>46</v>
      </c>
      <c r="H49" s="10" t="n">
        <f aca="false">IF(OR(AND(E49="right",C49&gt;0),AND(E49="left",C49&lt;0)),1,0)</f>
        <v>1</v>
      </c>
    </row>
    <row r="50" customFormat="false" ht="15" hidden="false" customHeight="false" outlineLevel="0" collapsed="false">
      <c r="A50" s="8" t="n">
        <f aca="false">Data!A48+1</f>
        <v>47</v>
      </c>
      <c r="B50" s="8" t="n">
        <f aca="false">Data!C48</f>
        <v>15.5</v>
      </c>
      <c r="C50" s="8" t="n">
        <f aca="false">Data!O48</f>
        <v>15.5</v>
      </c>
      <c r="D50" s="8" t="n">
        <f aca="false">Data!Q48</f>
        <v>1</v>
      </c>
      <c r="E50" s="9" t="s">
        <v>26</v>
      </c>
      <c r="F50" s="10" t="n">
        <f aca="false">IF(AND(D49=1,D50=0),1,0)</f>
        <v>0</v>
      </c>
      <c r="G50" s="10" t="str">
        <f aca="false">IF(F50=1,A50,"")</f>
        <v/>
      </c>
      <c r="H50" s="10" t="n">
        <f aca="false">IF(OR(AND(E50="right",C50&gt;0),AND(E50="left",C50&lt;0)),1,0)</f>
        <v>1</v>
      </c>
    </row>
    <row r="51" customFormat="false" ht="15" hidden="false" customHeight="false" outlineLevel="0" collapsed="false">
      <c r="A51" s="8" t="n">
        <f aca="false">Data!A49+1</f>
        <v>48</v>
      </c>
      <c r="B51" s="8" t="n">
        <f aca="false">Data!C49</f>
        <v>15.5</v>
      </c>
      <c r="C51" s="8" t="n">
        <f aca="false">Data!O49</f>
        <v>-15.5</v>
      </c>
      <c r="D51" s="8" t="n">
        <f aca="false">Data!Q49</f>
        <v>0</v>
      </c>
      <c r="E51" s="9" t="s">
        <v>46</v>
      </c>
      <c r="F51" s="10" t="n">
        <f aca="false">IF(AND(D50=1,D51=0),1,0)</f>
        <v>1</v>
      </c>
      <c r="G51" s="10" t="n">
        <f aca="false">IF(F51=1,A51,"")</f>
        <v>48</v>
      </c>
      <c r="H51" s="10" t="n">
        <f aca="false">IF(OR(AND(E51="right",C51&gt;0),AND(E51="left",C51&lt;0)),1,0)</f>
        <v>1</v>
      </c>
    </row>
    <row r="52" customFormat="false" ht="15" hidden="false" customHeight="false" outlineLevel="0" collapsed="false">
      <c r="A52" s="8" t="n">
        <f aca="false">Data!A50+1</f>
        <v>49</v>
      </c>
      <c r="B52" s="8" t="n">
        <f aca="false">Data!C50</f>
        <v>16</v>
      </c>
      <c r="C52" s="8" t="n">
        <f aca="false">Data!O50</f>
        <v>-16</v>
      </c>
      <c r="D52" s="8" t="n">
        <f aca="false">Data!Q50</f>
        <v>0</v>
      </c>
      <c r="E52" s="9" t="s">
        <v>46</v>
      </c>
      <c r="F52" s="10" t="n">
        <f aca="false">IF(AND(D51=1,D52=0),1,0)</f>
        <v>0</v>
      </c>
      <c r="G52" s="10" t="str">
        <f aca="false">IF(F52=1,A52,"")</f>
        <v/>
      </c>
      <c r="H52" s="10" t="n">
        <f aca="false">IF(OR(AND(E52="right",C52&gt;0),AND(E52="left",C52&lt;0)),1,0)</f>
        <v>1</v>
      </c>
    </row>
    <row r="53" customFormat="false" ht="15" hidden="false" customHeight="false" outlineLevel="0" collapsed="false">
      <c r="A53" s="8" t="n">
        <f aca="false">Data!A51+1</f>
        <v>50</v>
      </c>
      <c r="B53" s="8" t="n">
        <f aca="false">Data!C51</f>
        <v>16.5</v>
      </c>
      <c r="C53" s="8" t="n">
        <f aca="false">Data!O51</f>
        <v>-16.5</v>
      </c>
      <c r="D53" s="8" t="n">
        <f aca="false">Data!Q51</f>
        <v>0</v>
      </c>
      <c r="E53" s="9" t="s">
        <v>46</v>
      </c>
      <c r="F53" s="10" t="n">
        <f aca="false">IF(AND(D52=1,D53=0),1,0)</f>
        <v>0</v>
      </c>
      <c r="G53" s="10" t="str">
        <f aca="false">IF(F53=1,A53,"")</f>
        <v/>
      </c>
      <c r="H53" s="10" t="n">
        <f aca="false">IF(OR(AND(E53="right",C53&gt;0),AND(E53="left",C53&lt;0)),1,0)</f>
        <v>1</v>
      </c>
    </row>
    <row r="54" customFormat="false" ht="15" hidden="false" customHeight="false" outlineLevel="0" collapsed="false">
      <c r="A54" s="8" t="n">
        <f aca="false">Data!A52+1</f>
        <v>51</v>
      </c>
      <c r="B54" s="8" t="n">
        <f aca="false">Data!C52</f>
        <v>17</v>
      </c>
      <c r="C54" s="8" t="n">
        <f aca="false">Data!O52</f>
        <v>17</v>
      </c>
      <c r="D54" s="8" t="n">
        <f aca="false">Data!Q52</f>
        <v>1</v>
      </c>
      <c r="E54" s="9" t="s">
        <v>26</v>
      </c>
      <c r="F54" s="10" t="n">
        <f aca="false">IF(AND(D53=1,D54=0),1,0)</f>
        <v>0</v>
      </c>
      <c r="G54" s="10" t="str">
        <f aca="false">IF(F54=1,A54,"")</f>
        <v/>
      </c>
      <c r="H54" s="10" t="n">
        <f aca="false">IF(OR(AND(E54="right",C54&gt;0),AND(E54="left",C54&lt;0)),1,0)</f>
        <v>1</v>
      </c>
    </row>
    <row r="55" customFormat="false" ht="15" hidden="false" customHeight="false" outlineLevel="0" collapsed="false">
      <c r="A55" s="8" t="n">
        <f aca="false">Data!A53+1</f>
        <v>52</v>
      </c>
      <c r="B55" s="8" t="n">
        <f aca="false">Data!C53</f>
        <v>17</v>
      </c>
      <c r="C55" s="8" t="n">
        <f aca="false">Data!O53</f>
        <v>17</v>
      </c>
      <c r="D55" s="8" t="n">
        <f aca="false">Data!Q53</f>
        <v>0</v>
      </c>
      <c r="E55" s="9" t="s">
        <v>46</v>
      </c>
      <c r="F55" s="10" t="n">
        <f aca="false">IF(AND(D54=1,D55=0),1,0)</f>
        <v>1</v>
      </c>
      <c r="G55" s="10" t="n">
        <f aca="false">IF(F55=1,A55,"")</f>
        <v>52</v>
      </c>
      <c r="H55" s="10" t="n">
        <f aca="false">IF(OR(AND(E55="right",C55&gt;0),AND(E55="left",C55&lt;0)),1,0)</f>
        <v>0</v>
      </c>
    </row>
    <row r="56" customFormat="false" ht="15" hidden="false" customHeight="false" outlineLevel="0" collapsed="false">
      <c r="A56" s="8" t="n">
        <f aca="false">Data!A54+1</f>
        <v>53</v>
      </c>
      <c r="B56" s="8" t="n">
        <f aca="false">Data!C54</f>
        <v>17.5</v>
      </c>
      <c r="C56" s="8" t="n">
        <f aca="false">Data!O54</f>
        <v>17.5</v>
      </c>
      <c r="D56" s="8" t="n">
        <f aca="false">Data!Q54</f>
        <v>1</v>
      </c>
      <c r="E56" s="9" t="s">
        <v>26</v>
      </c>
      <c r="F56" s="10" t="n">
        <f aca="false">IF(AND(D55=1,D56=0),1,0)</f>
        <v>0</v>
      </c>
      <c r="G56" s="10" t="str">
        <f aca="false">IF(F56=1,A56,"")</f>
        <v/>
      </c>
      <c r="H56" s="10" t="n">
        <f aca="false">IF(OR(AND(E56="right",C56&gt;0),AND(E56="left",C56&lt;0)),1,0)</f>
        <v>1</v>
      </c>
    </row>
    <row r="57" customFormat="false" ht="15" hidden="false" customHeight="false" outlineLevel="0" collapsed="false">
      <c r="A57" s="8" t="n">
        <f aca="false">Data!A55+1</f>
        <v>54</v>
      </c>
      <c r="B57" s="8" t="n">
        <f aca="false">Data!C55</f>
        <v>17.5</v>
      </c>
      <c r="C57" s="8" t="n">
        <f aca="false">Data!O55</f>
        <v>-17.5</v>
      </c>
      <c r="D57" s="8" t="n">
        <f aca="false">Data!Q55</f>
        <v>0</v>
      </c>
      <c r="E57" s="9" t="s">
        <v>46</v>
      </c>
      <c r="F57" s="10" t="n">
        <f aca="false">IF(AND(D56=1,D57=0),1,0)</f>
        <v>1</v>
      </c>
      <c r="G57" s="10" t="n">
        <f aca="false">IF(F57=1,A57,"")</f>
        <v>54</v>
      </c>
      <c r="H57" s="10" t="n">
        <f aca="false">IF(OR(AND(E57="right",C57&gt;0),AND(E57="left",C57&lt;0)),1,0)</f>
        <v>1</v>
      </c>
    </row>
    <row r="58" customFormat="false" ht="15" hidden="false" customHeight="false" outlineLevel="0" collapsed="false">
      <c r="A58" s="8" t="n">
        <f aca="false">Data!A56+1</f>
        <v>55</v>
      </c>
      <c r="B58" s="8" t="n">
        <f aca="false">Data!C56</f>
        <v>18</v>
      </c>
      <c r="C58" s="8" t="n">
        <f aca="false">Data!O56</f>
        <v>18</v>
      </c>
      <c r="D58" s="8" t="n">
        <f aca="false">Data!Q56</f>
        <v>1</v>
      </c>
      <c r="E58" s="9" t="s">
        <v>26</v>
      </c>
      <c r="F58" s="10" t="n">
        <f aca="false">IF(AND(D57=1,D58=0),1,0)</f>
        <v>0</v>
      </c>
      <c r="G58" s="10" t="str">
        <f aca="false">IF(F58=1,A58,"")</f>
        <v/>
      </c>
      <c r="H58" s="10" t="n">
        <f aca="false">IF(OR(AND(E58="right",C58&gt;0),AND(E58="left",C58&lt;0)),1,0)</f>
        <v>1</v>
      </c>
    </row>
    <row r="59" customFormat="false" ht="15" hidden="false" customHeight="false" outlineLevel="0" collapsed="false">
      <c r="A59" s="8" t="n">
        <f aca="false">Data!A57+1</f>
        <v>56</v>
      </c>
      <c r="B59" s="8" t="n">
        <f aca="false">Data!C57</f>
        <v>18</v>
      </c>
      <c r="C59" s="8" t="n">
        <f aca="false">Data!O57</f>
        <v>18</v>
      </c>
      <c r="D59" s="8" t="n">
        <f aca="false">Data!Q57</f>
        <v>1</v>
      </c>
      <c r="E59" s="9" t="s">
        <v>26</v>
      </c>
      <c r="F59" s="10" t="n">
        <f aca="false">IF(AND(D58=1,D59=0),1,0)</f>
        <v>0</v>
      </c>
      <c r="G59" s="10" t="str">
        <f aca="false">IF(F59=1,A59,"")</f>
        <v/>
      </c>
      <c r="H59" s="10" t="n">
        <f aca="false">IF(OR(AND(E59="right",C59&gt;0),AND(E59="left",C59&lt;0)),1,0)</f>
        <v>1</v>
      </c>
    </row>
    <row r="60" customFormat="false" ht="15" hidden="false" customHeight="false" outlineLevel="0" collapsed="false">
      <c r="A60" s="8" t="n">
        <f aca="false">Data!A58+1</f>
        <v>57</v>
      </c>
      <c r="B60" s="8" t="n">
        <f aca="false">Data!C58</f>
        <v>18</v>
      </c>
      <c r="C60" s="8" t="n">
        <f aca="false">Data!O58</f>
        <v>-18</v>
      </c>
      <c r="D60" s="8" t="n">
        <f aca="false">Data!Q58</f>
        <v>0</v>
      </c>
      <c r="E60" s="9" t="s">
        <v>46</v>
      </c>
      <c r="F60" s="10" t="n">
        <f aca="false">IF(AND(D59=1,D60=0),1,0)</f>
        <v>1</v>
      </c>
      <c r="G60" s="10" t="n">
        <f aca="false">IF(F60=1,A60,"")</f>
        <v>57</v>
      </c>
      <c r="H60" s="10" t="n">
        <f aca="false">IF(OR(AND(E60="right",C60&gt;0),AND(E60="left",C60&lt;0)),1,0)</f>
        <v>1</v>
      </c>
    </row>
    <row r="61" customFormat="false" ht="15" hidden="false" customHeight="false" outlineLevel="0" collapsed="false">
      <c r="A61" s="8" t="n">
        <f aca="false">Data!A59+1</f>
        <v>58</v>
      </c>
      <c r="B61" s="8" t="n">
        <f aca="false">Data!C59</f>
        <v>18.5</v>
      </c>
      <c r="C61" s="8" t="n">
        <f aca="false">Data!O59</f>
        <v>-18.5</v>
      </c>
      <c r="D61" s="8" t="n">
        <f aca="false">Data!Q59</f>
        <v>0</v>
      </c>
      <c r="E61" s="9" t="s">
        <v>46</v>
      </c>
      <c r="F61" s="10" t="n">
        <f aca="false">IF(AND(D60=1,D61=0),1,0)</f>
        <v>0</v>
      </c>
      <c r="G61" s="10" t="str">
        <f aca="false">IF(F61=1,A61,"")</f>
        <v/>
      </c>
      <c r="H61" s="10" t="n">
        <f aca="false">IF(OR(AND(E61="right",C61&gt;0),AND(E61="left",C61&lt;0)),1,0)</f>
        <v>1</v>
      </c>
    </row>
    <row r="62" customFormat="false" ht="15" hidden="false" customHeight="false" outlineLevel="0" collapsed="false">
      <c r="A62" s="8" t="n">
        <f aca="false">Data!A60+1</f>
        <v>59</v>
      </c>
      <c r="B62" s="8" t="n">
        <f aca="false">Data!C60</f>
        <v>19</v>
      </c>
      <c r="C62" s="8" t="n">
        <f aca="false">Data!O60</f>
        <v>-19</v>
      </c>
      <c r="D62" s="8" t="n">
        <f aca="false">Data!Q60</f>
        <v>0</v>
      </c>
      <c r="E62" s="9" t="s">
        <v>46</v>
      </c>
      <c r="F62" s="10" t="n">
        <f aca="false">IF(AND(D61=1,D62=0),1,0)</f>
        <v>0</v>
      </c>
      <c r="G62" s="10" t="str">
        <f aca="false">IF(F62=1,A62,"")</f>
        <v/>
      </c>
      <c r="H62" s="10" t="n">
        <f aca="false">IF(OR(AND(E62="right",C62&gt;0),AND(E62="left",C62&lt;0)),1,0)</f>
        <v>1</v>
      </c>
    </row>
    <row r="63" customFormat="false" ht="15" hidden="false" customHeight="false" outlineLevel="0" collapsed="false">
      <c r="A63" s="8" t="n">
        <f aca="false">Data!A61+1</f>
        <v>60</v>
      </c>
      <c r="B63" s="8" t="n">
        <f aca="false">Data!C61</f>
        <v>19.5</v>
      </c>
      <c r="C63" s="8" t="n">
        <f aca="false">Data!O61</f>
        <v>19.5</v>
      </c>
      <c r="D63" s="8" t="n">
        <f aca="false">Data!Q61</f>
        <v>0</v>
      </c>
      <c r="E63" s="9" t="s">
        <v>46</v>
      </c>
      <c r="F63" s="10" t="n">
        <f aca="false">IF(AND(D62=1,D63=0),1,0)</f>
        <v>0</v>
      </c>
      <c r="G63" s="10" t="str">
        <f aca="false">IF(F63=1,A63,"")</f>
        <v/>
      </c>
      <c r="H63" s="10" t="n">
        <f aca="false">IF(OR(AND(E63="right",C63&gt;0),AND(E63="left",C63&lt;0)),1,0)</f>
        <v>0</v>
      </c>
    </row>
    <row r="64" customFormat="false" ht="15" hidden="false" customHeight="false" outlineLevel="0" collapsed="false">
      <c r="A64" s="8" t="n">
        <f aca="false">Data!A62+1</f>
        <v>61</v>
      </c>
      <c r="B64" s="8" t="n">
        <f aca="false">Data!C62</f>
        <v>20</v>
      </c>
      <c r="C64" s="8" t="n">
        <f aca="false">Data!O62</f>
        <v>20</v>
      </c>
      <c r="D64" s="8" t="n">
        <f aca="false">Data!Q62</f>
        <v>1</v>
      </c>
      <c r="E64" s="9" t="s">
        <v>26</v>
      </c>
      <c r="F64" s="10" t="n">
        <f aca="false">IF(AND(D63=1,D64=0),1,0)</f>
        <v>0</v>
      </c>
      <c r="G64" s="10" t="str">
        <f aca="false">IF(F64=1,A64,"")</f>
        <v/>
      </c>
      <c r="H64" s="10" t="n">
        <f aca="false">IF(OR(AND(E64="right",C64&gt;0),AND(E64="left",C64&lt;0)),1,0)</f>
        <v>1</v>
      </c>
    </row>
    <row r="65" customFormat="false" ht="15" hidden="false" customHeight="false" outlineLevel="0" collapsed="false">
      <c r="A65" s="8" t="n">
        <f aca="false">Data!A63+1</f>
        <v>62</v>
      </c>
      <c r="B65" s="8" t="n">
        <f aca="false">Data!C63</f>
        <v>20</v>
      </c>
      <c r="C65" s="8" t="n">
        <f aca="false">Data!O63</f>
        <v>20</v>
      </c>
      <c r="D65" s="8" t="n">
        <f aca="false">Data!Q63</f>
        <v>1</v>
      </c>
      <c r="E65" s="9" t="s">
        <v>26</v>
      </c>
      <c r="F65" s="10" t="n">
        <f aca="false">IF(AND(D64=1,D65=0),1,0)</f>
        <v>0</v>
      </c>
      <c r="G65" s="10" t="str">
        <f aca="false">IF(F65=1,A65,"")</f>
        <v/>
      </c>
      <c r="H65" s="10" t="n">
        <f aca="false">IF(OR(AND(E65="right",C65&gt;0),AND(E65="left",C65&lt;0)),1,0)</f>
        <v>1</v>
      </c>
    </row>
    <row r="66" customFormat="false" ht="15" hidden="false" customHeight="false" outlineLevel="0" collapsed="false">
      <c r="A66" s="8" t="n">
        <f aca="false">Data!A64+1</f>
        <v>63</v>
      </c>
      <c r="B66" s="8" t="n">
        <f aca="false">Data!C64</f>
        <v>20</v>
      </c>
      <c r="C66" s="8" t="n">
        <f aca="false">Data!O64</f>
        <v>-20</v>
      </c>
      <c r="D66" s="8" t="n">
        <f aca="false">Data!Q64</f>
        <v>0</v>
      </c>
      <c r="E66" s="9" t="s">
        <v>46</v>
      </c>
      <c r="F66" s="10" t="n">
        <f aca="false">IF(AND(D65=1,D66=0),1,0)</f>
        <v>1</v>
      </c>
      <c r="G66" s="10" t="n">
        <f aca="false">IF(F66=1,A66,"")</f>
        <v>63</v>
      </c>
      <c r="H66" s="10" t="n">
        <f aca="false">IF(OR(AND(E66="right",C66&gt;0),AND(E66="left",C66&lt;0)),1,0)</f>
        <v>1</v>
      </c>
    </row>
    <row r="67" customFormat="false" ht="15" hidden="false" customHeight="false" outlineLevel="0" collapsed="false">
      <c r="A67" s="8" t="n">
        <f aca="false">Data!A65+1</f>
        <v>64</v>
      </c>
      <c r="B67" s="8" t="n">
        <f aca="false">Data!C65</f>
        <v>20</v>
      </c>
      <c r="C67" s="8" t="n">
        <f aca="false">Data!O65</f>
        <v>-20</v>
      </c>
      <c r="D67" s="8" t="n">
        <f aca="false">Data!Q65</f>
        <v>0</v>
      </c>
      <c r="E67" s="9" t="s">
        <v>46</v>
      </c>
      <c r="F67" s="10" t="n">
        <f aca="false">IF(AND(D66=1,D67=0),1,0)</f>
        <v>0</v>
      </c>
      <c r="G67" s="10" t="str">
        <f aca="false">IF(F67=1,A67,"")</f>
        <v/>
      </c>
      <c r="H67" s="10" t="n">
        <f aca="false">IF(OR(AND(E67="right",C67&gt;0),AND(E67="left",C67&lt;0)),1,0)</f>
        <v>1</v>
      </c>
    </row>
    <row r="68" customFormat="false" ht="15" hidden="false" customHeight="false" outlineLevel="0" collapsed="false">
      <c r="A68" s="8" t="n">
        <f aca="false">Data!A66+1</f>
        <v>65</v>
      </c>
      <c r="B68" s="8" t="n">
        <f aca="false">Data!C66</f>
        <v>20</v>
      </c>
      <c r="C68" s="8" t="n">
        <f aca="false">Data!O66</f>
        <v>20</v>
      </c>
      <c r="D68" s="8" t="n">
        <f aca="false">Data!Q66</f>
        <v>1</v>
      </c>
      <c r="E68" s="9" t="s">
        <v>26</v>
      </c>
      <c r="F68" s="10" t="n">
        <f aca="false">IF(AND(D67=1,D68=0),1,0)</f>
        <v>0</v>
      </c>
      <c r="G68" s="10" t="str">
        <f aca="false">IF(F68=1,A68,"")</f>
        <v/>
      </c>
      <c r="H68" s="10" t="n">
        <f aca="false">IF(OR(AND(E68="right",C68&gt;0),AND(E68="left",C68&lt;0)),1,0)</f>
        <v>1</v>
      </c>
    </row>
    <row r="69" customFormat="false" ht="15" hidden="false" customHeight="false" outlineLevel="0" collapsed="false">
      <c r="A69" s="8" t="n">
        <f aca="false">Data!A67+1</f>
        <v>66</v>
      </c>
      <c r="B69" s="8" t="n">
        <f aca="false">Data!C67</f>
        <v>20</v>
      </c>
      <c r="C69" s="8" t="n">
        <f aca="false">Data!O67</f>
        <v>20</v>
      </c>
      <c r="D69" s="8" t="n">
        <f aca="false">Data!Q67</f>
        <v>1</v>
      </c>
      <c r="E69" s="9" t="s">
        <v>26</v>
      </c>
      <c r="F69" s="10" t="n">
        <f aca="false">IF(AND(D68=1,D69=0),1,0)</f>
        <v>0</v>
      </c>
      <c r="G69" s="10" t="str">
        <f aca="false">IF(F69=1,A69,"")</f>
        <v/>
      </c>
      <c r="H69" s="10" t="n">
        <f aca="false">IF(OR(AND(E69="right",C69&gt;0),AND(E69="left",C69&lt;0)),1,0)</f>
        <v>1</v>
      </c>
    </row>
    <row r="70" customFormat="false" ht="15" hidden="false" customHeight="false" outlineLevel="0" collapsed="false">
      <c r="A70" s="8" t="n">
        <f aca="false">Data!A68+1</f>
        <v>67</v>
      </c>
      <c r="B70" s="8" t="n">
        <f aca="false">Data!C68</f>
        <v>20</v>
      </c>
      <c r="C70" s="8" t="n">
        <f aca="false">Data!O68</f>
        <v>20</v>
      </c>
      <c r="D70" s="8" t="n">
        <f aca="false">Data!Q68</f>
        <v>1</v>
      </c>
      <c r="E70" s="9" t="s">
        <v>26</v>
      </c>
      <c r="F70" s="10" t="n">
        <f aca="false">IF(AND(D69=1,D70=0),1,0)</f>
        <v>0</v>
      </c>
      <c r="G70" s="10" t="str">
        <f aca="false">IF(F70=1,A70,"")</f>
        <v/>
      </c>
      <c r="H70" s="10" t="n">
        <f aca="false">IF(OR(AND(E70="right",C70&gt;0),AND(E70="left",C70&lt;0)),1,0)</f>
        <v>1</v>
      </c>
    </row>
    <row r="71" customFormat="false" ht="15" hidden="false" customHeight="false" outlineLevel="0" collapsed="false">
      <c r="A71" s="8" t="n">
        <f aca="false">Data!A69+1</f>
        <v>68</v>
      </c>
      <c r="B71" s="8" t="n">
        <f aca="false">Data!C69</f>
        <v>19.5</v>
      </c>
      <c r="C71" s="8" t="n">
        <f aca="false">Data!O69</f>
        <v>19.5</v>
      </c>
      <c r="D71" s="8" t="n">
        <f aca="false">Data!Q69</f>
        <v>1</v>
      </c>
      <c r="E71" s="9" t="s">
        <v>26</v>
      </c>
      <c r="F71" s="10" t="n">
        <f aca="false">IF(AND(D70=1,D71=0),1,0)</f>
        <v>0</v>
      </c>
      <c r="G71" s="10" t="str">
        <f aca="false">IF(F71=1,A71,"")</f>
        <v/>
      </c>
      <c r="H71" s="10" t="n">
        <f aca="false">IF(OR(AND(E71="right",C71&gt;0),AND(E71="left",C71&lt;0)),1,0)</f>
        <v>1</v>
      </c>
    </row>
    <row r="72" customFormat="false" ht="15" hidden="false" customHeight="false" outlineLevel="0" collapsed="false">
      <c r="A72" s="8" t="n">
        <f aca="false">Data!A70+1</f>
        <v>69</v>
      </c>
      <c r="B72" s="8" t="n">
        <f aca="false">Data!C70</f>
        <v>19.5</v>
      </c>
      <c r="C72" s="8" t="n">
        <f aca="false">Data!O70</f>
        <v>19.5</v>
      </c>
      <c r="D72" s="8" t="n">
        <f aca="false">Data!Q70</f>
        <v>1</v>
      </c>
      <c r="E72" s="9" t="s">
        <v>26</v>
      </c>
      <c r="F72" s="10" t="n">
        <f aca="false">IF(AND(D71=1,D72=0),1,0)</f>
        <v>0</v>
      </c>
      <c r="G72" s="10" t="str">
        <f aca="false">IF(F72=1,A72,"")</f>
        <v/>
      </c>
      <c r="H72" s="10" t="n">
        <f aca="false">IF(OR(AND(E72="right",C72&gt;0),AND(E72="left",C72&lt;0)),1,0)</f>
        <v>1</v>
      </c>
    </row>
    <row r="73" customFormat="false" ht="15" hidden="false" customHeight="false" outlineLevel="0" collapsed="false">
      <c r="A73" s="8" t="n">
        <f aca="false">Data!A71+1</f>
        <v>70</v>
      </c>
      <c r="B73" s="8" t="n">
        <f aca="false">Data!C71</f>
        <v>19.5</v>
      </c>
      <c r="C73" s="8" t="n">
        <f aca="false">Data!O71</f>
        <v>19.5</v>
      </c>
      <c r="D73" s="8" t="n">
        <f aca="false">Data!Q71</f>
        <v>1</v>
      </c>
      <c r="E73" s="9" t="s">
        <v>26</v>
      </c>
      <c r="F73" s="10" t="n">
        <f aca="false">IF(AND(D72=1,D73=0),1,0)</f>
        <v>0</v>
      </c>
      <c r="G73" s="10" t="str">
        <f aca="false">IF(F73=1,A73,"")</f>
        <v/>
      </c>
      <c r="H73" s="10" t="n">
        <f aca="false">IF(OR(AND(E73="right",C73&gt;0),AND(E73="left",C73&lt;0)),1,0)</f>
        <v>1</v>
      </c>
    </row>
    <row r="74" customFormat="false" ht="15" hidden="false" customHeight="false" outlineLevel="0" collapsed="false">
      <c r="A74" s="8" t="n">
        <f aca="false">Data!A72+1</f>
        <v>71</v>
      </c>
      <c r="B74" s="8" t="n">
        <f aca="false">Data!C72</f>
        <v>19</v>
      </c>
      <c r="C74" s="8" t="n">
        <f aca="false">Data!O72</f>
        <v>19</v>
      </c>
      <c r="D74" s="8" t="n">
        <f aca="false">Data!Q72</f>
        <v>1</v>
      </c>
      <c r="E74" s="9" t="s">
        <v>26</v>
      </c>
      <c r="F74" s="10" t="n">
        <f aca="false">IF(AND(D73=1,D74=0),1,0)</f>
        <v>0</v>
      </c>
      <c r="G74" s="10" t="str">
        <f aca="false">IF(F74=1,A74,"")</f>
        <v/>
      </c>
      <c r="H74" s="10" t="n">
        <f aca="false">IF(OR(AND(E74="right",C74&gt;0),AND(E74="left",C74&lt;0)),1,0)</f>
        <v>1</v>
      </c>
    </row>
    <row r="75" customFormat="false" ht="15" hidden="false" customHeight="false" outlineLevel="0" collapsed="false">
      <c r="A75" s="8" t="n">
        <f aca="false">Data!A73+1</f>
        <v>72</v>
      </c>
      <c r="B75" s="8" t="n">
        <f aca="false">Data!C73</f>
        <v>19</v>
      </c>
      <c r="C75" s="8" t="n">
        <f aca="false">Data!O73</f>
        <v>19</v>
      </c>
      <c r="D75" s="8" t="n">
        <f aca="false">Data!Q73</f>
        <v>1</v>
      </c>
      <c r="E75" s="9" t="s">
        <v>26</v>
      </c>
      <c r="F75" s="10" t="n">
        <f aca="false">IF(AND(D74=1,D75=0),1,0)</f>
        <v>0</v>
      </c>
      <c r="G75" s="10" t="str">
        <f aca="false">IF(F75=1,A75,"")</f>
        <v/>
      </c>
      <c r="H75" s="10" t="n">
        <f aca="false">IF(OR(AND(E75="right",C75&gt;0),AND(E75="left",C75&lt;0)),1,0)</f>
        <v>1</v>
      </c>
    </row>
    <row r="76" customFormat="false" ht="15" hidden="false" customHeight="false" outlineLevel="0" collapsed="false">
      <c r="A76" s="8" t="n">
        <f aca="false">Data!A74+1</f>
        <v>73</v>
      </c>
      <c r="B76" s="8" t="n">
        <f aca="false">Data!C74</f>
        <v>19</v>
      </c>
      <c r="C76" s="8" t="n">
        <f aca="false">Data!O74</f>
        <v>-19</v>
      </c>
      <c r="D76" s="8" t="n">
        <f aca="false">Data!Q74</f>
        <v>0</v>
      </c>
      <c r="E76" s="9" t="s">
        <v>46</v>
      </c>
      <c r="F76" s="10" t="n">
        <f aca="false">IF(AND(D75=1,D76=0),1,0)</f>
        <v>1</v>
      </c>
      <c r="G76" s="10" t="n">
        <f aca="false">IF(F76=1,A76,"")</f>
        <v>73</v>
      </c>
      <c r="H76" s="10" t="n">
        <f aca="false">IF(OR(AND(E76="right",C76&gt;0),AND(E76="left",C76&lt;0)),1,0)</f>
        <v>1</v>
      </c>
    </row>
    <row r="77" customFormat="false" ht="15" hidden="false" customHeight="false" outlineLevel="0" collapsed="false">
      <c r="A77" s="8" t="n">
        <f aca="false">Data!A75+1</f>
        <v>74</v>
      </c>
      <c r="B77" s="8" t="n">
        <f aca="false">Data!C75</f>
        <v>19.5</v>
      </c>
      <c r="C77" s="8" t="n">
        <f aca="false">Data!O75</f>
        <v>-19.5</v>
      </c>
      <c r="D77" s="8" t="n">
        <f aca="false">Data!Q75</f>
        <v>0</v>
      </c>
      <c r="E77" s="9" t="s">
        <v>46</v>
      </c>
      <c r="F77" s="10" t="n">
        <f aca="false">IF(AND(D76=1,D77=0),1,0)</f>
        <v>0</v>
      </c>
      <c r="G77" s="10" t="str">
        <f aca="false">IF(F77=1,A77,"")</f>
        <v/>
      </c>
      <c r="H77" s="10" t="n">
        <f aca="false">IF(OR(AND(E77="right",C77&gt;0),AND(E77="left",C77&lt;0)),1,0)</f>
        <v>1</v>
      </c>
    </row>
    <row r="78" customFormat="false" ht="15" hidden="false" customHeight="false" outlineLevel="0" collapsed="false">
      <c r="A78" s="8" t="n">
        <f aca="false">Data!A76+1</f>
        <v>75</v>
      </c>
      <c r="B78" s="8" t="n">
        <f aca="false">Data!C76</f>
        <v>20</v>
      </c>
      <c r="C78" s="8" t="n">
        <f aca="false">Data!O76</f>
        <v>20</v>
      </c>
      <c r="D78" s="8" t="n">
        <f aca="false">Data!Q76</f>
        <v>1</v>
      </c>
      <c r="E78" s="9" t="s">
        <v>26</v>
      </c>
      <c r="F78" s="10" t="n">
        <f aca="false">IF(AND(D77=1,D78=0),1,0)</f>
        <v>0</v>
      </c>
      <c r="G78" s="10" t="str">
        <f aca="false">IF(F78=1,A78,"")</f>
        <v/>
      </c>
      <c r="H78" s="10" t="n">
        <f aca="false">IF(OR(AND(E78="right",C78&gt;0),AND(E78="left",C78&lt;0)),1,0)</f>
        <v>1</v>
      </c>
    </row>
    <row r="79" customFormat="false" ht="15" hidden="false" customHeight="false" outlineLevel="0" collapsed="false">
      <c r="A79" s="8" t="n">
        <f aca="false">Data!A77+1</f>
        <v>76</v>
      </c>
      <c r="B79" s="8" t="n">
        <f aca="false">Data!C77</f>
        <v>20</v>
      </c>
      <c r="C79" s="8" t="n">
        <f aca="false">Data!O77</f>
        <v>-20</v>
      </c>
      <c r="D79" s="8" t="n">
        <f aca="false">Data!Q77</f>
        <v>0</v>
      </c>
      <c r="E79" s="9" t="s">
        <v>46</v>
      </c>
      <c r="F79" s="10" t="n">
        <f aca="false">IF(AND(D78=1,D79=0),1,0)</f>
        <v>1</v>
      </c>
      <c r="G79" s="10" t="n">
        <f aca="false">IF(F79=1,A79,"")</f>
        <v>76</v>
      </c>
      <c r="H79" s="10" t="n">
        <f aca="false">IF(OR(AND(E79="right",C79&gt;0),AND(E79="left",C79&lt;0)),1,0)</f>
        <v>1</v>
      </c>
    </row>
    <row r="80" customFormat="false" ht="15" hidden="false" customHeight="false" outlineLevel="0" collapsed="false">
      <c r="A80" s="8" t="n">
        <f aca="false">Data!A78+1</f>
        <v>77</v>
      </c>
      <c r="B80" s="8" t="n">
        <f aca="false">Data!C78</f>
        <v>20</v>
      </c>
      <c r="C80" s="8" t="n">
        <f aca="false">Data!O78</f>
        <v>-20</v>
      </c>
      <c r="D80" s="8" t="n">
        <f aca="false">Data!Q78</f>
        <v>0</v>
      </c>
      <c r="E80" s="9" t="s">
        <v>46</v>
      </c>
      <c r="F80" s="10" t="n">
        <f aca="false">IF(AND(D79=1,D80=0),1,0)</f>
        <v>0</v>
      </c>
      <c r="G80" s="10" t="str">
        <f aca="false">IF(F80=1,A80,"")</f>
        <v/>
      </c>
      <c r="H80" s="10" t="n">
        <f aca="false">IF(OR(AND(E80="right",C80&gt;0),AND(E80="left",C80&lt;0)),1,0)</f>
        <v>1</v>
      </c>
    </row>
    <row r="81" customFormat="false" ht="15" hidden="false" customHeight="false" outlineLevel="0" collapsed="false">
      <c r="A81" s="8" t="n">
        <f aca="false">Data!A79+1</f>
        <v>78</v>
      </c>
      <c r="B81" s="8" t="n">
        <f aca="false">Data!C79</f>
        <v>20</v>
      </c>
      <c r="C81" s="8" t="n">
        <f aca="false">Data!O79</f>
        <v>20</v>
      </c>
      <c r="D81" s="8" t="n">
        <f aca="false">Data!Q79</f>
        <v>1</v>
      </c>
      <c r="E81" s="9" t="s">
        <v>26</v>
      </c>
      <c r="F81" s="10" t="n">
        <f aca="false">IF(AND(D80=1,D81=0),1,0)</f>
        <v>0</v>
      </c>
      <c r="G81" s="10" t="str">
        <f aca="false">IF(F81=1,A81,"")</f>
        <v/>
      </c>
      <c r="H81" s="10" t="n">
        <f aca="false">IF(OR(AND(E81="right",C81&gt;0),AND(E81="left",C81&lt;0)),1,0)</f>
        <v>1</v>
      </c>
    </row>
    <row r="82" customFormat="false" ht="15" hidden="false" customHeight="false" outlineLevel="0" collapsed="false">
      <c r="A82" s="8" t="n">
        <f aca="false">Data!A80+1</f>
        <v>79</v>
      </c>
      <c r="B82" s="8" t="n">
        <f aca="false">Data!C80</f>
        <v>20</v>
      </c>
      <c r="C82" s="8" t="n">
        <f aca="false">Data!O80</f>
        <v>-20</v>
      </c>
      <c r="D82" s="8" t="n">
        <f aca="false">Data!Q80</f>
        <v>0</v>
      </c>
      <c r="E82" s="9" t="s">
        <v>46</v>
      </c>
      <c r="F82" s="10" t="n">
        <f aca="false">IF(AND(D81=1,D82=0),1,0)</f>
        <v>1</v>
      </c>
      <c r="G82" s="10" t="n">
        <f aca="false">IF(F82=1,A82,"")</f>
        <v>79</v>
      </c>
      <c r="H82" s="10" t="n">
        <f aca="false">IF(OR(AND(E82="right",C82&gt;0),AND(E82="left",C82&lt;0)),1,0)</f>
        <v>1</v>
      </c>
    </row>
    <row r="83" customFormat="false" ht="15" hidden="false" customHeight="false" outlineLevel="0" collapsed="false">
      <c r="A83" s="8" t="n">
        <f aca="false">Data!A81+1</f>
        <v>80</v>
      </c>
      <c r="B83" s="8" t="n">
        <f aca="false">Data!C81</f>
        <v>20</v>
      </c>
      <c r="C83" s="8" t="n">
        <f aca="false">Data!O81</f>
        <v>-20</v>
      </c>
      <c r="D83" s="8" t="n">
        <f aca="false">Data!Q81</f>
        <v>1</v>
      </c>
      <c r="E83" s="9" t="s">
        <v>26</v>
      </c>
      <c r="F83" s="10" t="n">
        <f aca="false">IF(AND(D82=1,D83=0),1,0)</f>
        <v>0</v>
      </c>
      <c r="G83" s="10" t="str">
        <f aca="false">IF(F83=1,A83,"")</f>
        <v/>
      </c>
      <c r="H83" s="10" t="n">
        <f aca="false">IF(OR(AND(E83="right",C83&gt;0),AND(E83="left",C83&lt;0)),1,0)</f>
        <v>0</v>
      </c>
    </row>
    <row r="84" customFormat="false" ht="15" hidden="false" customHeight="false" outlineLevel="0" collapsed="false">
      <c r="A84" s="8" t="n">
        <f aca="false">Data!A82+1</f>
        <v>81</v>
      </c>
      <c r="B84" s="8" t="n">
        <f aca="false">Data!C82</f>
        <v>20</v>
      </c>
      <c r="C84" s="8" t="n">
        <f aca="false">Data!O82</f>
        <v>-20</v>
      </c>
      <c r="D84" s="8" t="n">
        <f aca="false">Data!Q82</f>
        <v>0</v>
      </c>
      <c r="E84" s="9" t="s">
        <v>46</v>
      </c>
      <c r="F84" s="10" t="n">
        <f aca="false">IF(AND(D83=1,D84=0),1,0)</f>
        <v>1</v>
      </c>
      <c r="G84" s="10" t="n">
        <f aca="false">IF(F84=1,A84,"")</f>
        <v>81</v>
      </c>
      <c r="H84" s="10" t="n">
        <f aca="false">IF(OR(AND(E84="right",C84&gt;0),AND(E84="left",C84&lt;0)),1,0)</f>
        <v>1</v>
      </c>
    </row>
    <row r="85" customFormat="false" ht="15" hidden="false" customHeight="false" outlineLevel="0" collapsed="false">
      <c r="A85" s="8" t="n">
        <f aca="false">Data!A83+1</f>
        <v>82</v>
      </c>
      <c r="B85" s="8" t="n">
        <f aca="false">Data!C83</f>
        <v>20</v>
      </c>
      <c r="C85" s="8" t="n">
        <f aca="false">Data!O83</f>
        <v>-20</v>
      </c>
      <c r="D85" s="8" t="n">
        <f aca="false">Data!Q83</f>
        <v>0</v>
      </c>
      <c r="E85" s="9" t="s">
        <v>46</v>
      </c>
      <c r="F85" s="10" t="n">
        <f aca="false">IF(AND(D84=1,D85=0),1,0)</f>
        <v>0</v>
      </c>
      <c r="G85" s="10" t="str">
        <f aca="false">IF(F85=1,A85,"")</f>
        <v/>
      </c>
      <c r="H85" s="10" t="n">
        <f aca="false">IF(OR(AND(E85="right",C85&gt;0),AND(E85="left",C85&lt;0)),1,0)</f>
        <v>1</v>
      </c>
    </row>
    <row r="86" customFormat="false" ht="15" hidden="false" customHeight="false" outlineLevel="0" collapsed="false">
      <c r="A86" s="8" t="n">
        <f aca="false">Data!A84+1</f>
        <v>83</v>
      </c>
      <c r="B86" s="8" t="n">
        <f aca="false">Data!C84</f>
        <v>20</v>
      </c>
      <c r="C86" s="8" t="n">
        <f aca="false">Data!O84</f>
        <v>20</v>
      </c>
      <c r="D86" s="8" t="n">
        <f aca="false">Data!Q84</f>
        <v>1</v>
      </c>
      <c r="E86" s="9" t="s">
        <v>26</v>
      </c>
      <c r="F86" s="10" t="n">
        <f aca="false">IF(AND(D85=1,D86=0),1,0)</f>
        <v>0</v>
      </c>
      <c r="G86" s="10" t="str">
        <f aca="false">IF(F86=1,A86,"")</f>
        <v/>
      </c>
      <c r="H86" s="10" t="n">
        <f aca="false">IF(OR(AND(E86="right",C86&gt;0),AND(E86="left",C86&lt;0)),1,0)</f>
        <v>1</v>
      </c>
    </row>
    <row r="87" customFormat="false" ht="15" hidden="false" customHeight="false" outlineLevel="0" collapsed="false">
      <c r="A87" s="8" t="n">
        <f aca="false">Data!A85+1</f>
        <v>84</v>
      </c>
      <c r="B87" s="8" t="n">
        <f aca="false">Data!C85</f>
        <v>20</v>
      </c>
      <c r="C87" s="8" t="n">
        <f aca="false">Data!O85</f>
        <v>-20</v>
      </c>
      <c r="D87" s="8" t="n">
        <f aca="false">Data!Q85</f>
        <v>0</v>
      </c>
      <c r="E87" s="9" t="s">
        <v>46</v>
      </c>
      <c r="F87" s="10" t="n">
        <f aca="false">IF(AND(D86=1,D87=0),1,0)</f>
        <v>1</v>
      </c>
      <c r="G87" s="10" t="n">
        <f aca="false">IF(F87=1,A87,"")</f>
        <v>84</v>
      </c>
      <c r="H87" s="10" t="n">
        <f aca="false">IF(OR(AND(E87="right",C87&gt;0),AND(E87="left",C87&lt;0)),1,0)</f>
        <v>1</v>
      </c>
    </row>
    <row r="88" customFormat="false" ht="15" hidden="false" customHeight="false" outlineLevel="0" collapsed="false">
      <c r="A88" s="8" t="n">
        <f aca="false">Data!A86+1</f>
        <v>85</v>
      </c>
      <c r="B88" s="8" t="n">
        <f aca="false">Data!C86</f>
        <v>20</v>
      </c>
      <c r="C88" s="8" t="n">
        <f aca="false">Data!O86</f>
        <v>-20</v>
      </c>
      <c r="D88" s="8" t="n">
        <f aca="false">Data!Q86</f>
        <v>0</v>
      </c>
      <c r="E88" s="9" t="s">
        <v>46</v>
      </c>
      <c r="F88" s="10" t="n">
        <f aca="false">IF(AND(D87=1,D88=0),1,0)</f>
        <v>0</v>
      </c>
      <c r="G88" s="10" t="str">
        <f aca="false">IF(F88=1,A88,"")</f>
        <v/>
      </c>
      <c r="H88" s="10" t="n">
        <f aca="false">IF(OR(AND(E88="right",C88&gt;0),AND(E88="left",C88&lt;0)),1,0)</f>
        <v>1</v>
      </c>
    </row>
    <row r="89" customFormat="false" ht="15" hidden="false" customHeight="false" outlineLevel="0" collapsed="false">
      <c r="A89" s="8" t="n">
        <f aca="false">Data!A87+1</f>
        <v>86</v>
      </c>
      <c r="B89" s="8" t="n">
        <f aca="false">Data!C87</f>
        <v>20</v>
      </c>
      <c r="C89" s="8" t="n">
        <f aca="false">Data!O87</f>
        <v>-20</v>
      </c>
      <c r="D89" s="8" t="n">
        <f aca="false">Data!Q87</f>
        <v>0</v>
      </c>
      <c r="E89" s="9" t="s">
        <v>46</v>
      </c>
      <c r="F89" s="10" t="n">
        <f aca="false">IF(AND(D88=1,D89=0),1,0)</f>
        <v>0</v>
      </c>
      <c r="G89" s="10" t="str">
        <f aca="false">IF(F89=1,A89,"")</f>
        <v/>
      </c>
      <c r="H89" s="10" t="n">
        <f aca="false">IF(OR(AND(E89="right",C89&gt;0),AND(E89="left",C89&lt;0)),1,0)</f>
        <v>1</v>
      </c>
    </row>
    <row r="90" customFormat="false" ht="15" hidden="false" customHeight="false" outlineLevel="0" collapsed="false">
      <c r="A90" s="8" t="n">
        <f aca="false">Data!A88+1</f>
        <v>87</v>
      </c>
      <c r="B90" s="8" t="n">
        <f aca="false">Data!C88</f>
        <v>20</v>
      </c>
      <c r="C90" s="8" t="n">
        <f aca="false">Data!O88</f>
        <v>20</v>
      </c>
      <c r="D90" s="8" t="n">
        <f aca="false">Data!Q88</f>
        <v>1</v>
      </c>
      <c r="E90" s="9" t="s">
        <v>26</v>
      </c>
      <c r="F90" s="10" t="n">
        <f aca="false">IF(AND(D89=1,D90=0),1,0)</f>
        <v>0</v>
      </c>
      <c r="G90" s="10" t="str">
        <f aca="false">IF(F90=1,A90,"")</f>
        <v/>
      </c>
      <c r="H90" s="10" t="n">
        <f aca="false">IF(OR(AND(E90="right",C90&gt;0),AND(E90="left",C90&lt;0)),1,0)</f>
        <v>1</v>
      </c>
    </row>
    <row r="91" customFormat="false" ht="15" hidden="false" customHeight="false" outlineLevel="0" collapsed="false">
      <c r="A91" s="8" t="n">
        <f aca="false">Data!A89+1</f>
        <v>88</v>
      </c>
      <c r="B91" s="8" t="n">
        <f aca="false">Data!C89</f>
        <v>20</v>
      </c>
      <c r="C91" s="8" t="n">
        <f aca="false">Data!O89</f>
        <v>20</v>
      </c>
      <c r="D91" s="8" t="n">
        <f aca="false">Data!Q89</f>
        <v>1</v>
      </c>
      <c r="E91" s="9" t="s">
        <v>26</v>
      </c>
      <c r="F91" s="10" t="n">
        <f aca="false">IF(AND(D90=1,D91=0),1,0)</f>
        <v>0</v>
      </c>
      <c r="G91" s="10" t="str">
        <f aca="false">IF(F91=1,A91,"")</f>
        <v/>
      </c>
      <c r="H91" s="10" t="n">
        <f aca="false">IF(OR(AND(E91="right",C91&gt;0),AND(E91="left",C91&lt;0)),1,0)</f>
        <v>1</v>
      </c>
    </row>
    <row r="92" customFormat="false" ht="15" hidden="false" customHeight="false" outlineLevel="0" collapsed="false">
      <c r="A92" s="8" t="n">
        <f aca="false">Data!A90+1</f>
        <v>89</v>
      </c>
      <c r="B92" s="8" t="n">
        <f aca="false">Data!C90</f>
        <v>20</v>
      </c>
      <c r="C92" s="8" t="n">
        <f aca="false">Data!O90</f>
        <v>-20</v>
      </c>
      <c r="D92" s="8" t="n">
        <f aca="false">Data!Q90</f>
        <v>0</v>
      </c>
      <c r="E92" s="9" t="s">
        <v>46</v>
      </c>
      <c r="F92" s="10" t="n">
        <f aca="false">IF(AND(D91=1,D92=0),1,0)</f>
        <v>1</v>
      </c>
      <c r="G92" s="10" t="n">
        <f aca="false">IF(F92=1,A92,"")</f>
        <v>89</v>
      </c>
      <c r="H92" s="10" t="n">
        <f aca="false">IF(OR(AND(E92="right",C92&gt;0),AND(E92="left",C92&lt;0)),1,0)</f>
        <v>1</v>
      </c>
    </row>
    <row r="93" customFormat="false" ht="15" hidden="false" customHeight="false" outlineLevel="0" collapsed="false">
      <c r="A93" s="8" t="n">
        <f aca="false">Data!A91+1</f>
        <v>90</v>
      </c>
      <c r="B93" s="8" t="n">
        <f aca="false">Data!C91</f>
        <v>20</v>
      </c>
      <c r="C93" s="8" t="n">
        <f aca="false">Data!O91</f>
        <v>-20</v>
      </c>
      <c r="D93" s="8" t="n">
        <f aca="false">Data!Q91</f>
        <v>0</v>
      </c>
      <c r="E93" s="9" t="s">
        <v>46</v>
      </c>
      <c r="F93" s="10" t="n">
        <f aca="false">IF(AND(D92=1,D93=0),1,0)</f>
        <v>0</v>
      </c>
      <c r="G93" s="10" t="str">
        <f aca="false">IF(F93=1,A93,"")</f>
        <v/>
      </c>
      <c r="H93" s="10" t="n">
        <f aca="false">IF(OR(AND(E93="right",C93&gt;0),AND(E93="left",C93&lt;0)),1,0)</f>
        <v>1</v>
      </c>
    </row>
    <row r="94" customFormat="false" ht="15" hidden="false" customHeight="false" outlineLevel="0" collapsed="false">
      <c r="A94" s="8" t="n">
        <f aca="false">Data!A92+1</f>
        <v>91</v>
      </c>
      <c r="B94" s="8" t="n">
        <f aca="false">Data!C92</f>
        <v>20</v>
      </c>
      <c r="C94" s="8" t="n">
        <f aca="false">Data!O92</f>
        <v>-20</v>
      </c>
      <c r="D94" s="8" t="n">
        <f aca="false">Data!Q92</f>
        <v>0</v>
      </c>
      <c r="E94" s="9" t="s">
        <v>46</v>
      </c>
      <c r="F94" s="10" t="n">
        <f aca="false">IF(AND(D93=1,D94=0),1,0)</f>
        <v>0</v>
      </c>
      <c r="G94" s="10" t="str">
        <f aca="false">IF(F94=1,A94,"")</f>
        <v/>
      </c>
      <c r="H94" s="10" t="n">
        <f aca="false">IF(OR(AND(E94="right",C94&gt;0),AND(E94="left",C94&lt;0)),1,0)</f>
        <v>1</v>
      </c>
    </row>
    <row r="95" customFormat="false" ht="15" hidden="false" customHeight="false" outlineLevel="0" collapsed="false">
      <c r="A95" s="8" t="n">
        <f aca="false">Data!A93+1</f>
        <v>92</v>
      </c>
      <c r="B95" s="8" t="n">
        <f aca="false">Data!C93</f>
        <v>20</v>
      </c>
      <c r="C95" s="8" t="n">
        <f aca="false">Data!O93</f>
        <v>20</v>
      </c>
      <c r="D95" s="8" t="n">
        <f aca="false">Data!Q93</f>
        <v>1</v>
      </c>
      <c r="E95" s="9" t="s">
        <v>26</v>
      </c>
      <c r="F95" s="10" t="n">
        <f aca="false">IF(AND(D94=1,D95=0),1,0)</f>
        <v>0</v>
      </c>
      <c r="G95" s="10" t="str">
        <f aca="false">IF(F95=1,A95,"")</f>
        <v/>
      </c>
      <c r="H95" s="10" t="n">
        <f aca="false">IF(OR(AND(E95="right",C95&gt;0),AND(E95="left",C95&lt;0)),1,0)</f>
        <v>1</v>
      </c>
    </row>
    <row r="96" customFormat="false" ht="15" hidden="false" customHeight="false" outlineLevel="0" collapsed="false">
      <c r="A96" s="8" t="n">
        <f aca="false">Data!A94+1</f>
        <v>93</v>
      </c>
      <c r="B96" s="8" t="n">
        <f aca="false">Data!C94</f>
        <v>20</v>
      </c>
      <c r="C96" s="8" t="n">
        <f aca="false">Data!O94</f>
        <v>20</v>
      </c>
      <c r="D96" s="8" t="n">
        <f aca="false">Data!Q94</f>
        <v>1</v>
      </c>
      <c r="E96" s="9" t="s">
        <v>26</v>
      </c>
      <c r="F96" s="10" t="n">
        <f aca="false">IF(AND(D95=1,D96=0),1,0)</f>
        <v>0</v>
      </c>
      <c r="G96" s="10" t="str">
        <f aca="false">IF(F96=1,A96,"")</f>
        <v/>
      </c>
      <c r="H96" s="10" t="n">
        <f aca="false">IF(OR(AND(E96="right",C96&gt;0),AND(E96="left",C96&lt;0)),1,0)</f>
        <v>1</v>
      </c>
    </row>
    <row r="97" customFormat="false" ht="15" hidden="false" customHeight="false" outlineLevel="0" collapsed="false">
      <c r="A97" s="8" t="n">
        <f aca="false">Data!A95+1</f>
        <v>94</v>
      </c>
      <c r="B97" s="8" t="n">
        <f aca="false">Data!C95</f>
        <v>20</v>
      </c>
      <c r="C97" s="8" t="n">
        <f aca="false">Data!O95</f>
        <v>-20</v>
      </c>
      <c r="D97" s="8" t="n">
        <f aca="false">Data!Q95</f>
        <v>0</v>
      </c>
      <c r="E97" s="9" t="s">
        <v>46</v>
      </c>
      <c r="F97" s="10" t="n">
        <f aca="false">IF(AND(D96=1,D97=0),1,0)</f>
        <v>1</v>
      </c>
      <c r="G97" s="10" t="n">
        <f aca="false">IF(F97=1,A97,"")</f>
        <v>94</v>
      </c>
      <c r="H97" s="10" t="n">
        <f aca="false">IF(OR(AND(E97="right",C97&gt;0),AND(E97="left",C97&lt;0)),1,0)</f>
        <v>1</v>
      </c>
    </row>
    <row r="98" customFormat="false" ht="15" hidden="false" customHeight="false" outlineLevel="0" collapsed="false">
      <c r="A98" s="8" t="n">
        <f aca="false">Data!A96+1</f>
        <v>95</v>
      </c>
      <c r="B98" s="8" t="n">
        <f aca="false">Data!C96</f>
        <v>20</v>
      </c>
      <c r="C98" s="8" t="n">
        <f aca="false">Data!O96</f>
        <v>20</v>
      </c>
      <c r="D98" s="8" t="n">
        <f aca="false">Data!Q96</f>
        <v>1</v>
      </c>
      <c r="E98" s="9" t="s">
        <v>26</v>
      </c>
      <c r="F98" s="10" t="n">
        <f aca="false">IF(AND(D97=1,D98=0),1,0)</f>
        <v>0</v>
      </c>
      <c r="G98" s="10" t="str">
        <f aca="false">IF(F98=1,A98,"")</f>
        <v/>
      </c>
      <c r="H98" s="10" t="n">
        <f aca="false">IF(OR(AND(E98="right",C98&gt;0),AND(E98="left",C98&lt;0)),1,0)</f>
        <v>1</v>
      </c>
    </row>
    <row r="99" customFormat="false" ht="15" hidden="false" customHeight="false" outlineLevel="0" collapsed="false">
      <c r="A99" s="8" t="n">
        <f aca="false">Data!A97+1</f>
        <v>96</v>
      </c>
      <c r="B99" s="8" t="n">
        <f aca="false">Data!C97</f>
        <v>20</v>
      </c>
      <c r="C99" s="8" t="n">
        <f aca="false">Data!O97</f>
        <v>-20</v>
      </c>
      <c r="D99" s="8" t="n">
        <f aca="false">Data!Q97</f>
        <v>0</v>
      </c>
      <c r="E99" s="9" t="s">
        <v>46</v>
      </c>
      <c r="F99" s="10" t="n">
        <f aca="false">IF(AND(D98=1,D99=0),1,0)</f>
        <v>1</v>
      </c>
      <c r="G99" s="10" t="n">
        <f aca="false">IF(F99=1,A99,"")</f>
        <v>96</v>
      </c>
      <c r="H99" s="10" t="n">
        <f aca="false">IF(OR(AND(E99="right",C99&gt;0),AND(E99="left",C99&lt;0)),1,0)</f>
        <v>1</v>
      </c>
    </row>
    <row r="100" customFormat="false" ht="15" hidden="false" customHeight="false" outlineLevel="0" collapsed="false">
      <c r="A100" s="8" t="n">
        <f aca="false">Data!A98+1</f>
        <v>97</v>
      </c>
      <c r="B100" s="8" t="n">
        <f aca="false">Data!C98</f>
        <v>20</v>
      </c>
      <c r="C100" s="8" t="n">
        <f aca="false">Data!O98</f>
        <v>20</v>
      </c>
      <c r="D100" s="8" t="n">
        <f aca="false">Data!Q98</f>
        <v>1</v>
      </c>
      <c r="E100" s="9" t="s">
        <v>26</v>
      </c>
      <c r="F100" s="10" t="n">
        <f aca="false">IF(AND(D99=1,D100=0),1,0)</f>
        <v>0</v>
      </c>
      <c r="G100" s="10" t="str">
        <f aca="false">IF(F100=1,A100,"")</f>
        <v/>
      </c>
      <c r="H100" s="10" t="n">
        <f aca="false">IF(OR(AND(E100="right",C100&gt;0),AND(E100="left",C100&lt;0)),1,0)</f>
        <v>1</v>
      </c>
    </row>
    <row r="101" customFormat="false" ht="15" hidden="false" customHeight="false" outlineLevel="0" collapsed="false">
      <c r="A101" s="8" t="n">
        <f aca="false">Data!A99+1</f>
        <v>98</v>
      </c>
      <c r="B101" s="8" t="n">
        <f aca="false">Data!C99</f>
        <v>20</v>
      </c>
      <c r="C101" s="8" t="n">
        <f aca="false">Data!O99</f>
        <v>-20</v>
      </c>
      <c r="D101" s="8" t="n">
        <f aca="false">Data!Q99</f>
        <v>1</v>
      </c>
      <c r="E101" s="9" t="s">
        <v>26</v>
      </c>
      <c r="F101" s="10" t="n">
        <f aca="false">IF(AND(D100=1,D101=0),1,0)</f>
        <v>0</v>
      </c>
      <c r="G101" s="10" t="str">
        <f aca="false">IF(F101=1,A101,"")</f>
        <v/>
      </c>
      <c r="H101" s="10" t="n">
        <f aca="false">IF(OR(AND(E101="right",C101&gt;0),AND(E101="left",C101&lt;0)),1,0)</f>
        <v>0</v>
      </c>
    </row>
    <row r="102" customFormat="false" ht="15" hidden="false" customHeight="false" outlineLevel="0" collapsed="false">
      <c r="A102" s="8" t="n">
        <f aca="false">Data!A100+1</f>
        <v>99</v>
      </c>
      <c r="B102" s="8" t="n">
        <f aca="false">Data!C100</f>
        <v>20</v>
      </c>
      <c r="C102" s="8" t="n">
        <f aca="false">Data!O100</f>
        <v>20</v>
      </c>
      <c r="D102" s="8" t="n">
        <f aca="false">Data!Q100</f>
        <v>1</v>
      </c>
      <c r="E102" s="9" t="s">
        <v>26</v>
      </c>
      <c r="F102" s="10" t="n">
        <f aca="false">IF(AND(D101=1,D102=0),1,0)</f>
        <v>0</v>
      </c>
      <c r="G102" s="10" t="str">
        <f aca="false">IF(F102=1,A102,"")</f>
        <v/>
      </c>
      <c r="H102" s="10" t="n">
        <f aca="false">IF(OR(AND(E102="right",C102&gt;0),AND(E102="left",C102&lt;0)),1,0)</f>
        <v>1</v>
      </c>
    </row>
    <row r="103" customFormat="false" ht="15" hidden="false" customHeight="false" outlineLevel="0" collapsed="false">
      <c r="A103" s="8" t="n">
        <f aca="false">Data!A101+1</f>
        <v>100</v>
      </c>
      <c r="B103" s="8" t="n">
        <f aca="false">Data!C101</f>
        <v>19.5</v>
      </c>
      <c r="C103" s="8" t="n">
        <f aca="false">Data!O101</f>
        <v>19.5</v>
      </c>
      <c r="D103" s="8" t="n">
        <f aca="false">Data!Q101</f>
        <v>0</v>
      </c>
      <c r="E103" s="9" t="s">
        <v>46</v>
      </c>
      <c r="F103" s="10" t="n">
        <f aca="false">IF(AND(D102=1,D103=0),1,0)</f>
        <v>1</v>
      </c>
      <c r="G103" s="10" t="n">
        <f aca="false">IF(F103=1,A103,"")</f>
        <v>100</v>
      </c>
      <c r="H103" s="10" t="n">
        <f aca="false">IF(OR(AND(E103="right",C103&gt;0),AND(E103="left",C103&lt;0)),1,0)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4" t="s">
        <v>66</v>
      </c>
    </row>
    <row r="16" customFormat="false" ht="15" hidden="false" customHeight="false" outlineLevel="0" collapsed="false">
      <c r="A16" s="17" t="s">
        <v>67</v>
      </c>
    </row>
    <row r="35" customFormat="false" ht="15" hidden="false" customHeight="false" outlineLevel="0" collapsed="false">
      <c r="A35" s="17" t="s">
        <v>68</v>
      </c>
    </row>
    <row r="53" customFormat="false" ht="15" hidden="false" customHeight="false" outlineLevel="0" collapsed="false">
      <c r="A53" s="17" t="s">
        <v>69</v>
      </c>
    </row>
    <row r="69" customFormat="false" ht="15" hidden="false" customHeight="false" outlineLevel="0" collapsed="false">
      <c r="A69" s="1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2026-10-07T07:52:19Z</dcterms:created>
  <dc:creator>openpyxl</dc:creator>
  <dc:description/>
  <dc:language>en-US</dc:language>
  <cp:lastModifiedBy/>
  <dcterms:modified xsi:type="dcterms:W3CDTF">2026-10-07T07:52:19Z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